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operez\Downloads\"/>
    </mc:Choice>
  </mc:AlternateContent>
  <xr:revisionPtr revIDLastSave="0" documentId="13_ncr:1_{E4189DE0-2021-4EF8-A868-C17D82E3123C}" xr6:coauthVersionLast="47" xr6:coauthVersionMax="47" xr10:uidLastSave="{00000000-0000-0000-0000-000000000000}"/>
  <workbookProtection workbookAlgorithmName="SHA-512" workbookHashValue="b5r8GCKw/k2W+xal7cdUvpqEY4grteyUH6DdhWbstz84hCYV/25EGsuFkZJ5AyqXg6eKASus4nwRzj0LtzZnhQ==" workbookSaltValue="QK+yNYYo+vL3sk3jMHxtUw==" workbookSpinCount="100000" lockStructure="1"/>
  <bookViews>
    <workbookView xWindow="-110" yWindow="-110" windowWidth="29020" windowHeight="15820" tabRatio="933" xr2:uid="{00000000-000D-0000-FFFF-FFFF00000000}"/>
  </bookViews>
  <sheets>
    <sheet name="RS2" sheetId="3" r:id="rId1"/>
    <sheet name="Lista Despegable" sheetId="6" state="hidden" r:id="rId2"/>
    <sheet name="Desplegable DDJJ" sheetId="2" state="hidden" r:id="rId3"/>
  </sheets>
  <definedNames>
    <definedName name="_xlnm.Print_Area" localSheetId="0">'RS2'!$A$2:$W$63</definedName>
    <definedName name="_xlnm.Print_Titles" localSheetId="0">'RS2'!$2:$8</definedName>
  </definedNames>
  <calcPr calcId="191029"/>
  <customWorkbookViews>
    <customWorkbookView name="Corinne V Villeta P - Personal View" guid="{3BED45F5-124E-4443-9496-81F6FA7B1ECD}" mergeInterval="0" personalView="1" maximized="1" xWindow="-8" yWindow="-8" windowWidth="1936" windowHeight="1056" tabRatio="933" activeSheetId="1"/>
    <customWorkbookView name="Maria B Calderon C - Personal View" guid="{99DDAF34-8281-4459-B21B-1F386C87505B}" mergeInterval="0" personalView="1" maximized="1" xWindow="-8" yWindow="-8" windowWidth="1616" windowHeight="876" tabRatio="933" activeSheetId="8"/>
    <customWorkbookView name="Sonia M Mendizabal G - Personal View" guid="{FCDA46AD-99D0-4A73-8BF7-467A042726DF}" mergeInterval="0" personalView="1" maximized="1" xWindow="-8" yWindow="-8" windowWidth="1936" windowHeight="1056" tabRatio="933" activeSheetId="1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0" i="3" l="1"/>
  <c r="T25" i="3" l="1"/>
  <c r="T39" i="3" s="1"/>
  <c r="T41" i="3" l="1"/>
  <c r="T45" i="3" l="1"/>
  <c r="T50" i="3" s="1"/>
  <c r="T30" i="3"/>
  <c r="T36" i="3" l="1"/>
</calcChain>
</file>

<file path=xl/sharedStrings.xml><?xml version="1.0" encoding="utf-8"?>
<sst xmlns="http://schemas.openxmlformats.org/spreadsheetml/2006/main" count="110" uniqueCount="80">
  <si>
    <t>DATOS GENERALES</t>
  </si>
  <si>
    <t>I.</t>
  </si>
  <si>
    <t>II.</t>
  </si>
  <si>
    <t>III.</t>
  </si>
  <si>
    <t>IV.</t>
  </si>
  <si>
    <t>V.</t>
  </si>
  <si>
    <t>FIRMA Y SELLO</t>
  </si>
  <si>
    <t>YO</t>
  </si>
  <si>
    <t>POR LA PRESENTE</t>
  </si>
  <si>
    <t>AFIRMO BAJO JURAMENTO QUE LOS DATOS CONSIGNADOS EN LA PRESENTE DECLARACIÓN SON CORRECTOS Y COMPLETOS Y QUE NO HE OMITIDO NI FALSEADO DATO ALGUNO QUE LA MISMA DEBA CONTENER, SIENDO EN CONSECUENCIA TODO SU CONTENIDO LA FIEL EXPRESIÓN DE LA VERDAD.</t>
  </si>
  <si>
    <t>FECHA</t>
  </si>
  <si>
    <t>FIRMA</t>
  </si>
  <si>
    <t>NORMAL</t>
  </si>
  <si>
    <t>RECTIFICATIVA</t>
  </si>
  <si>
    <t>AJUSTE</t>
  </si>
  <si>
    <t>FECHA DE PAGO (DÍA/MES/AÑO)</t>
  </si>
  <si>
    <t>LISTA DESPLEGABLE</t>
  </si>
  <si>
    <t xml:space="preserve"> EN CALIDAD DE</t>
  </si>
  <si>
    <t>RÉGIMEN SIMPLIFICADO DE TRIBUTACIÓN BASADO EN INGRESOS</t>
  </si>
  <si>
    <t>AÑO FISCAL</t>
  </si>
  <si>
    <t>OTROS INGRESOS</t>
  </si>
  <si>
    <t>TOTAL GENERAL DE LOS INGRESOS</t>
  </si>
  <si>
    <t>LIQUIDACIÓN</t>
  </si>
  <si>
    <t>Teléfono</t>
  </si>
  <si>
    <t>Tipo de Declaración</t>
  </si>
  <si>
    <t>Correo Electrónico</t>
  </si>
  <si>
    <t>Fecha Límite de Pago</t>
  </si>
  <si>
    <t>día</t>
  </si>
  <si>
    <t>mes</t>
  </si>
  <si>
    <t>año</t>
  </si>
  <si>
    <t>INGRESOS POR VENTAS</t>
  </si>
  <si>
    <t>INGRESOS POR ALQUILERES</t>
  </si>
  <si>
    <t>INGRESOS POR COMISIONES</t>
  </si>
  <si>
    <t>INGRESOS POR INTERESES PROVENIENTES DE ENTIDADES FINANCIERAS</t>
  </si>
  <si>
    <t>DIVIDENDOS</t>
  </si>
  <si>
    <t>GANANCIA DE CAPITAL</t>
  </si>
  <si>
    <t>INTERÉS INDEMNIZATORIO</t>
  </si>
  <si>
    <t>DECLARACIÓN JURADA DE IMPUESTO SOBRE LA RENTA PARA PERSONA JURÍDICA</t>
  </si>
  <si>
    <t>RS2</t>
  </si>
  <si>
    <t>Jurídica</t>
  </si>
  <si>
    <t>Física</t>
  </si>
  <si>
    <t>TIPO DE DECLARACIÓN</t>
  </si>
  <si>
    <t>FISCALIZACIÓN INTERNA</t>
  </si>
  <si>
    <t>FINAL</t>
  </si>
  <si>
    <t>INFORMATIVA</t>
  </si>
  <si>
    <t>RECURSO CONTENCIOSO</t>
  </si>
  <si>
    <t>RECONSIDERACIÓN</t>
  </si>
  <si>
    <t>AJUSTE O ESTIMACIÓN</t>
  </si>
  <si>
    <t>CESE</t>
  </si>
  <si>
    <t>MONTO RD$</t>
  </si>
  <si>
    <t>TIPO DE PERSONA</t>
  </si>
  <si>
    <t>VI.</t>
  </si>
  <si>
    <t>INTERÉS INDEMNIZATORIO POR ANTICIPOS NO PAGADOS</t>
  </si>
  <si>
    <t>IMPUESTO A PAGAR EN EL RÉGIMEN SIMPLIFICADO DE TRIBUTACIÓN</t>
  </si>
  <si>
    <t xml:space="preserve">PAGO A CUENTA </t>
  </si>
  <si>
    <t>VII. DECLARACIÓN</t>
  </si>
  <si>
    <t>VIII. PARA USO DE LA DGII</t>
  </si>
  <si>
    <t>INGRESOS NO SUJETOS A ESTE RÉGIMEN TRIBUTARIO</t>
  </si>
  <si>
    <t xml:space="preserve">RNC </t>
  </si>
  <si>
    <t>Razón Social</t>
  </si>
  <si>
    <t>+</t>
  </si>
  <si>
    <t>=</t>
  </si>
  <si>
    <t>INGRESOS POR SERVICIOS</t>
  </si>
  <si>
    <t>-</t>
  </si>
  <si>
    <t>INGRESOS SUJETOS A ESTE RÉGIMEN TRIBUTARIO</t>
  </si>
  <si>
    <t>MORA POR ANTICIPOS NO PAGADOS</t>
  </si>
  <si>
    <t>MORA EN DECLARACIÓN TARDÍA</t>
  </si>
  <si>
    <t xml:space="preserve">ANTICIPOS PAGADOS </t>
  </si>
  <si>
    <t>RETENCIONES ISR POR SERVICIOS AL ESTADO</t>
  </si>
  <si>
    <t>INGRESOS POR SERVICIOS AL EXTRANJERO</t>
  </si>
  <si>
    <r>
      <t xml:space="preserve">TOTAL DE INGRESOS SUJETOS A ESTE RÉGIMEN TRIBUTARIO </t>
    </r>
    <r>
      <rPr>
        <sz val="10"/>
        <rFont val="Lucida Sans"/>
        <family val="2"/>
      </rPr>
      <t>(casillas 1+2+3+4+5+6)</t>
    </r>
  </si>
  <si>
    <r>
      <t>TOTAL DE INGRESOS NO SUJETOS A ESTE RÉGIMEN TRIBUTARIO</t>
    </r>
    <r>
      <rPr>
        <sz val="10"/>
        <rFont val="Lucida Sans"/>
        <family val="2"/>
      </rPr>
      <t xml:space="preserve"> (casillas 8+9)</t>
    </r>
  </si>
  <si>
    <r>
      <t xml:space="preserve">TOTAL GENERAL DE LOS INGRESOS </t>
    </r>
    <r>
      <rPr>
        <sz val="11"/>
        <rFont val="Times New Roman"/>
        <family val="1"/>
      </rPr>
      <t>(casillas 7+10+11)</t>
    </r>
  </si>
  <si>
    <t>TASA DE ISR+ITBIS (aplicar tasa sobre casilla 7)</t>
  </si>
  <si>
    <t>IMPUESTO A PAGAR SOBRE GANANCIA DE CAPITAL (aplicar 27% sobre la casilla 11)</t>
  </si>
  <si>
    <r>
      <t xml:space="preserve">IMPUESTO LIQUIDADO </t>
    </r>
    <r>
      <rPr>
        <sz val="10"/>
        <rFont val="Lucida Sans"/>
        <family val="2"/>
      </rPr>
      <t>(casillas 13+14)</t>
    </r>
  </si>
  <si>
    <r>
      <t xml:space="preserve">DIFERENCIA A PAGAR </t>
    </r>
    <r>
      <rPr>
        <sz val="10"/>
        <rFont val="Lucida Sans"/>
        <family val="2"/>
      </rPr>
      <t>(casillas 15-16-17-18)</t>
    </r>
  </si>
  <si>
    <t>% SOBRE LA CASILLA 19</t>
  </si>
  <si>
    <r>
      <t xml:space="preserve">TOTAL A PAGAR </t>
    </r>
    <r>
      <rPr>
        <sz val="10"/>
        <rFont val="Lucida Sans"/>
        <family val="2"/>
      </rPr>
      <t>(casillas 19+20+21+22+23)</t>
    </r>
  </si>
  <si>
    <t>Versión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</si>
</sst>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/mm/yy;@"/>
    <numFmt numFmtId="165" formatCode="_(&quot;RD$&quot;* #,##0.00_);_(&quot;RD$&quot;* \(#,##0.00\);_(&quot;RD$&quot;* &quot;-&quot;??_);_(@_)"/>
    <numFmt numFmtId="166" formatCode="dd/mm/yyyy;@"/>
    <numFmt numFmtId="167" formatCode="#,##0.0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0"/>
      <name val="MS Sans Serif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rgb="FFFF0000"/>
      <name val="Times New Roman"/>
      <family val="1"/>
    </font>
    <font>
      <sz val="12"/>
      <name val="Arial"/>
      <family val="2"/>
    </font>
    <font>
      <sz val="11"/>
      <color theme="1"/>
      <name val="Arial"/>
      <family val="2"/>
    </font>
    <font>
      <sz val="16"/>
      <color theme="1"/>
      <name val="Times New Roman"/>
      <family val="1"/>
    </font>
    <font>
      <b/>
      <sz val="11"/>
      <color theme="1"/>
      <name val="Arial"/>
      <family val="2"/>
    </font>
    <font>
      <sz val="14"/>
      <color theme="1"/>
      <name val="Times New Roman"/>
      <family val="1"/>
    </font>
    <font>
      <b/>
      <sz val="25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b/>
      <sz val="14"/>
      <name val="Times New Roman"/>
      <family val="1"/>
    </font>
    <font>
      <b/>
      <sz val="15"/>
      <name val="Times New Roman"/>
      <family val="1"/>
    </font>
    <font>
      <b/>
      <sz val="14"/>
      <name val="Lucida Bright"/>
      <family val="1"/>
    </font>
    <font>
      <b/>
      <sz val="11"/>
      <name val="Lucida Bright"/>
      <family val="1"/>
    </font>
    <font>
      <sz val="11"/>
      <color theme="1"/>
      <name val="Lucida Bright"/>
      <family val="1"/>
    </font>
    <font>
      <b/>
      <sz val="11"/>
      <color indexed="8"/>
      <name val="Lucida Bright"/>
      <family val="1"/>
    </font>
    <font>
      <b/>
      <sz val="10"/>
      <name val="Lucida Sans"/>
      <family val="2"/>
    </font>
    <font>
      <b/>
      <sz val="10"/>
      <color theme="1"/>
      <name val="Lucida Sans "/>
    </font>
    <font>
      <sz val="10"/>
      <color theme="1"/>
      <name val="Lucida Sans"/>
      <family val="2"/>
    </font>
    <font>
      <sz val="10"/>
      <name val="Lucida Sans"/>
      <family val="2"/>
    </font>
    <font>
      <b/>
      <sz val="10"/>
      <color theme="1"/>
      <name val="Lucida Sans"/>
      <family val="2"/>
    </font>
    <font>
      <b/>
      <sz val="8"/>
      <name val="Lucida Sans"/>
      <family val="2"/>
    </font>
    <font>
      <sz val="10"/>
      <color indexed="8"/>
      <name val="Lucida Sans"/>
      <family val="2"/>
    </font>
    <font>
      <sz val="10"/>
      <color theme="1" tint="0.499984740745262"/>
      <name val="Lucida Sans"/>
      <family val="2"/>
    </font>
    <font>
      <b/>
      <sz val="12"/>
      <name val="Lucida Bright"/>
      <family val="1"/>
    </font>
    <font>
      <sz val="11"/>
      <name val="Calibri"/>
      <family val="2"/>
      <scheme val="minor"/>
    </font>
    <font>
      <sz val="11"/>
      <color theme="1"/>
      <name val="Lucida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2BC00"/>
        <bgColor indexed="64"/>
      </patternFill>
    </fill>
    <fill>
      <patternFill patternType="solid">
        <fgColor rgb="FF7AB800"/>
        <bgColor indexed="64"/>
      </patternFill>
    </fill>
    <fill>
      <patternFill patternType="solid">
        <fgColor theme="0" tint="-0.34998626667073579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4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8" fillId="0" borderId="1" xfId="0" applyFont="1" applyBorder="1"/>
    <xf numFmtId="0" fontId="9" fillId="0" borderId="1" xfId="0" applyFont="1" applyBorder="1"/>
    <xf numFmtId="0" fontId="28" fillId="0" borderId="1" xfId="0" applyFont="1" applyBorder="1" applyAlignment="1">
      <alignment vertical="center"/>
    </xf>
    <xf numFmtId="0" fontId="28" fillId="3" borderId="1" xfId="0" applyFont="1" applyFill="1" applyBorder="1"/>
    <xf numFmtId="49" fontId="26" fillId="2" borderId="34" xfId="0" applyNumberFormat="1" applyFont="1" applyFill="1" applyBorder="1" applyAlignment="1" applyProtection="1">
      <alignment horizontal="center" vertical="center"/>
      <protection locked="0"/>
    </xf>
    <xf numFmtId="9" fontId="29" fillId="0" borderId="1" xfId="1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 readingOrder="1"/>
    </xf>
    <xf numFmtId="0" fontId="11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top" wrapText="1"/>
    </xf>
    <xf numFmtId="0" fontId="8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vertical="center"/>
    </xf>
    <xf numFmtId="0" fontId="25" fillId="3" borderId="13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8" fillId="2" borderId="0" xfId="0" applyFont="1" applyFill="1" applyAlignment="1">
      <alignment vertical="center"/>
    </xf>
    <xf numFmtId="0" fontId="26" fillId="2" borderId="12" xfId="0" applyFont="1" applyFill="1" applyBorder="1" applyAlignment="1">
      <alignment vertical="center"/>
    </xf>
    <xf numFmtId="0" fontId="26" fillId="2" borderId="32" xfId="0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26" fillId="2" borderId="0" xfId="0" applyFont="1" applyFill="1" applyAlignment="1">
      <alignment vertical="center"/>
    </xf>
    <xf numFmtId="0" fontId="26" fillId="2" borderId="9" xfId="0" applyFont="1" applyFill="1" applyBorder="1" applyAlignment="1">
      <alignment vertical="center"/>
    </xf>
    <xf numFmtId="0" fontId="26" fillId="2" borderId="8" xfId="0" applyFont="1" applyFill="1" applyBorder="1" applyAlignment="1">
      <alignment vertical="center"/>
    </xf>
    <xf numFmtId="0" fontId="31" fillId="2" borderId="8" xfId="0" applyFont="1" applyFill="1" applyBorder="1" applyAlignment="1">
      <alignment horizontal="center" vertical="top"/>
    </xf>
    <xf numFmtId="0" fontId="26" fillId="2" borderId="10" xfId="0" applyFont="1" applyFill="1" applyBorder="1" applyAlignment="1">
      <alignment vertical="center"/>
    </xf>
    <xf numFmtId="0" fontId="25" fillId="3" borderId="29" xfId="0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9" fillId="0" borderId="4" xfId="7" applyFont="1" applyBorder="1" applyAlignment="1">
      <alignment horizontal="left" vertical="center"/>
    </xf>
    <xf numFmtId="0" fontId="29" fillId="0" borderId="3" xfId="7" applyFont="1" applyBorder="1" applyAlignment="1">
      <alignment horizontal="left" vertical="center"/>
    </xf>
    <xf numFmtId="0" fontId="29" fillId="0" borderId="5" xfId="7" applyFont="1" applyBorder="1" applyAlignment="1">
      <alignment horizontal="left" vertical="center"/>
    </xf>
    <xf numFmtId="49" fontId="29" fillId="0" borderId="1" xfId="7" applyNumberFormat="1" applyFont="1" applyBorder="1" applyAlignment="1">
      <alignment horizontal="center" vertical="center"/>
    </xf>
    <xf numFmtId="43" fontId="0" fillId="0" borderId="0" xfId="0" applyNumberFormat="1" applyAlignment="1">
      <alignment vertical="center"/>
    </xf>
    <xf numFmtId="0" fontId="30" fillId="5" borderId="22" xfId="0" applyFont="1" applyFill="1" applyBorder="1" applyAlignment="1">
      <alignment horizontal="center" vertical="center"/>
    </xf>
    <xf numFmtId="49" fontId="26" fillId="5" borderId="41" xfId="0" applyNumberFormat="1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49" fontId="6" fillId="5" borderId="41" xfId="0" applyNumberFormat="1" applyFont="1" applyFill="1" applyBorder="1" applyAlignment="1">
      <alignment horizontal="center" vertical="center"/>
    </xf>
    <xf numFmtId="9" fontId="28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29" fillId="0" borderId="1" xfId="7" applyFont="1" applyBorder="1" applyAlignment="1">
      <alignment horizontal="center" vertical="center"/>
    </xf>
    <xf numFmtId="0" fontId="26" fillId="0" borderId="1" xfId="7" applyFon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0" fontId="26" fillId="5" borderId="41" xfId="0" applyFont="1" applyFill="1" applyBorder="1" applyAlignment="1">
      <alignment horizontal="center" vertical="center"/>
    </xf>
    <xf numFmtId="0" fontId="23" fillId="4" borderId="11" xfId="0" applyFont="1" applyFill="1" applyBorder="1" applyAlignment="1">
      <alignment vertical="center"/>
    </xf>
    <xf numFmtId="0" fontId="23" fillId="4" borderId="14" xfId="0" applyFont="1" applyFill="1" applyBorder="1" applyAlignment="1">
      <alignment vertical="center"/>
    </xf>
    <xf numFmtId="0" fontId="23" fillId="2" borderId="0" xfId="0" applyFont="1" applyFill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23" fillId="0" borderId="40" xfId="0" applyFont="1" applyBorder="1" applyAlignment="1">
      <alignment horizontal="left" vertical="center"/>
    </xf>
    <xf numFmtId="0" fontId="23" fillId="0" borderId="12" xfId="0" applyFont="1" applyBorder="1" applyAlignment="1">
      <alignment horizontal="left" vertical="center"/>
    </xf>
    <xf numFmtId="0" fontId="23" fillId="0" borderId="39" xfId="0" applyFont="1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28" fillId="0" borderId="0" xfId="0" applyFont="1" applyAlignment="1">
      <alignment horizontal="right"/>
    </xf>
    <xf numFmtId="0" fontId="15" fillId="0" borderId="30" xfId="0" applyFont="1" applyBorder="1" applyAlignment="1">
      <alignment horizontal="center" vertical="center" wrapText="1"/>
    </xf>
    <xf numFmtId="0" fontId="7" fillId="2" borderId="19" xfId="3" applyFont="1" applyFill="1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15" fillId="0" borderId="0" xfId="0" applyFont="1" applyAlignment="1">
      <alignment horizontal="center" vertical="center"/>
    </xf>
    <xf numFmtId="165" fontId="13" fillId="0" borderId="19" xfId="0" applyNumberFormat="1" applyFont="1" applyBorder="1" applyAlignment="1">
      <alignment horizontal="center" vertical="center" wrapText="1"/>
    </xf>
    <xf numFmtId="165" fontId="19" fillId="0" borderId="30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66" fontId="0" fillId="0" borderId="30" xfId="0" applyNumberFormat="1" applyBorder="1" applyAlignment="1">
      <alignment vertical="center"/>
    </xf>
    <xf numFmtId="165" fontId="28" fillId="0" borderId="0" xfId="0" applyNumberFormat="1" applyFont="1" applyAlignment="1">
      <alignment vertical="center" wrapText="1"/>
    </xf>
    <xf numFmtId="165" fontId="10" fillId="0" borderId="0" xfId="0" applyNumberFormat="1" applyFont="1" applyAlignment="1">
      <alignment vertical="center" wrapText="1"/>
    </xf>
    <xf numFmtId="0" fontId="0" fillId="0" borderId="9" xfId="0" applyBorder="1" applyAlignment="1">
      <alignment vertical="center"/>
    </xf>
    <xf numFmtId="0" fontId="13" fillId="0" borderId="0" xfId="0" applyFont="1" applyAlignment="1">
      <alignment horizontal="center" vertical="center"/>
    </xf>
    <xf numFmtId="14" fontId="30" fillId="0" borderId="0" xfId="0" applyNumberFormat="1" applyFont="1" applyAlignment="1">
      <alignment horizontal="center" vertical="center" wrapText="1"/>
    </xf>
    <xf numFmtId="14" fontId="30" fillId="0" borderId="0" xfId="0" applyNumberFormat="1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8" xfId="0" applyFont="1" applyBorder="1" applyAlignment="1">
      <alignment vertical="center"/>
    </xf>
    <xf numFmtId="0" fontId="13" fillId="0" borderId="26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17" fillId="0" borderId="0" xfId="0" applyFont="1" applyAlignment="1">
      <alignment horizontal="center" vertical="center"/>
    </xf>
    <xf numFmtId="165" fontId="13" fillId="2" borderId="0" xfId="0" applyNumberFormat="1" applyFont="1" applyFill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 wrapText="1"/>
    </xf>
    <xf numFmtId="0" fontId="14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vertical="center"/>
    </xf>
    <xf numFmtId="4" fontId="28" fillId="0" borderId="7" xfId="1" applyNumberFormat="1" applyFont="1" applyBorder="1" applyAlignment="1" applyProtection="1">
      <alignment horizontal="center" vertical="center"/>
      <protection locked="0"/>
    </xf>
    <xf numFmtId="4" fontId="28" fillId="0" borderId="25" xfId="1" applyNumberFormat="1" applyFont="1" applyBorder="1" applyAlignment="1" applyProtection="1">
      <alignment horizontal="center" vertical="center"/>
      <protection locked="0"/>
    </xf>
    <xf numFmtId="0" fontId="10" fillId="2" borderId="0" xfId="0" applyFont="1" applyFill="1" applyAlignment="1">
      <alignment horizontal="center" vertical="center"/>
    </xf>
    <xf numFmtId="0" fontId="29" fillId="2" borderId="0" xfId="3" applyFont="1" applyFill="1"/>
    <xf numFmtId="0" fontId="26" fillId="2" borderId="3" xfId="3" applyFont="1" applyFill="1" applyBorder="1" applyAlignment="1" applyProtection="1">
      <alignment horizontal="center" vertical="center"/>
      <protection locked="0"/>
    </xf>
    <xf numFmtId="0" fontId="29" fillId="2" borderId="0" xfId="3" applyFont="1" applyFill="1" applyAlignment="1">
      <alignment horizontal="left"/>
    </xf>
    <xf numFmtId="165" fontId="28" fillId="0" borderId="0" xfId="0" applyNumberFormat="1" applyFont="1" applyAlignment="1">
      <alignment horizontal="center" vertical="center" wrapText="1"/>
    </xf>
    <xf numFmtId="166" fontId="3" fillId="2" borderId="1" xfId="3" applyNumberFormat="1" applyFill="1" applyBorder="1" applyAlignment="1" applyProtection="1">
      <alignment horizontal="center" vertical="center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164" fontId="9" fillId="2" borderId="0" xfId="0" applyNumberFormat="1" applyFont="1" applyFill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30" fillId="0" borderId="2" xfId="0" applyFont="1" applyBorder="1" applyAlignment="1" applyProtection="1">
      <alignment horizontal="center" vertical="center" wrapText="1"/>
      <protection locked="0"/>
    </xf>
    <xf numFmtId="0" fontId="29" fillId="0" borderId="4" xfId="7" applyFont="1" applyBorder="1" applyAlignment="1">
      <alignment horizontal="left" vertical="center"/>
    </xf>
    <xf numFmtId="0" fontId="29" fillId="0" borderId="3" xfId="7" applyFont="1" applyBorder="1" applyAlignment="1">
      <alignment horizontal="left" vertical="center"/>
    </xf>
    <xf numFmtId="0" fontId="29" fillId="0" borderId="5" xfId="7" applyFont="1" applyBorder="1" applyAlignment="1">
      <alignment horizontal="left" vertical="center"/>
    </xf>
    <xf numFmtId="0" fontId="28" fillId="0" borderId="4" xfId="0" applyFont="1" applyBorder="1" applyAlignment="1">
      <alignment horizontal="left" vertical="center"/>
    </xf>
    <xf numFmtId="0" fontId="28" fillId="0" borderId="3" xfId="0" applyFont="1" applyBorder="1" applyAlignment="1">
      <alignment horizontal="left" vertical="center"/>
    </xf>
    <xf numFmtId="0" fontId="28" fillId="0" borderId="5" xfId="0" applyFont="1" applyBorder="1" applyAlignment="1">
      <alignment horizontal="left" vertical="center"/>
    </xf>
    <xf numFmtId="0" fontId="26" fillId="5" borderId="15" xfId="0" applyFont="1" applyFill="1" applyBorder="1" applyAlignment="1">
      <alignment horizontal="left" vertical="center"/>
    </xf>
    <xf numFmtId="0" fontId="26" fillId="5" borderId="16" xfId="0" applyFont="1" applyFill="1" applyBorder="1" applyAlignment="1">
      <alignment horizontal="left" vertical="center"/>
    </xf>
    <xf numFmtId="0" fontId="26" fillId="5" borderId="17" xfId="0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left" vertical="center"/>
    </xf>
    <xf numFmtId="0" fontId="6" fillId="5" borderId="16" xfId="0" applyFont="1" applyFill="1" applyBorder="1" applyAlignment="1">
      <alignment horizontal="left" vertical="center"/>
    </xf>
    <xf numFmtId="0" fontId="6" fillId="5" borderId="17" xfId="0" applyFont="1" applyFill="1" applyBorder="1" applyAlignment="1">
      <alignment horizontal="left" vertical="center"/>
    </xf>
    <xf numFmtId="0" fontId="31" fillId="2" borderId="35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167" fontId="30" fillId="5" borderId="28" xfId="0" applyNumberFormat="1" applyFont="1" applyFill="1" applyBorder="1" applyAlignment="1">
      <alignment horizontal="center" vertical="center"/>
    </xf>
    <xf numFmtId="4" fontId="30" fillId="5" borderId="28" xfId="0" applyNumberFormat="1" applyFont="1" applyFill="1" applyBorder="1" applyAlignment="1">
      <alignment horizontal="center" vertical="center"/>
    </xf>
    <xf numFmtId="4" fontId="30" fillId="5" borderId="27" xfId="0" applyNumberFormat="1" applyFont="1" applyFill="1" applyBorder="1" applyAlignment="1">
      <alignment horizontal="center" vertical="center"/>
    </xf>
    <xf numFmtId="0" fontId="23" fillId="4" borderId="37" xfId="0" applyFont="1" applyFill="1" applyBorder="1" applyAlignment="1">
      <alignment horizontal="left" vertical="center"/>
    </xf>
    <xf numFmtId="0" fontId="23" fillId="4" borderId="36" xfId="0" applyFont="1" applyFill="1" applyBorder="1" applyAlignment="1">
      <alignment horizontal="left" vertical="center"/>
    </xf>
    <xf numFmtId="0" fontId="23" fillId="4" borderId="38" xfId="0" applyFont="1" applyFill="1" applyBorder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39" fontId="30" fillId="0" borderId="7" xfId="1" applyNumberFormat="1" applyFont="1" applyBorder="1" applyAlignment="1" applyProtection="1">
      <alignment horizontal="center" vertical="center"/>
    </xf>
    <xf numFmtId="39" fontId="30" fillId="0" borderId="25" xfId="1" applyNumberFormat="1" applyFont="1" applyBorder="1" applyAlignment="1" applyProtection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4" fontId="29" fillId="0" borderId="7" xfId="1" applyNumberFormat="1" applyFont="1" applyBorder="1" applyAlignment="1" applyProtection="1">
      <alignment horizontal="center" vertical="center"/>
      <protection locked="0"/>
    </xf>
    <xf numFmtId="4" fontId="29" fillId="0" borderId="25" xfId="1" applyNumberFormat="1" applyFont="1" applyBorder="1" applyAlignment="1" applyProtection="1">
      <alignment horizontal="center" vertical="center"/>
      <protection locked="0"/>
    </xf>
    <xf numFmtId="39" fontId="29" fillId="0" borderId="7" xfId="1" applyNumberFormat="1" applyFont="1" applyFill="1" applyBorder="1" applyAlignment="1" applyProtection="1">
      <alignment horizontal="center" vertical="center"/>
      <protection locked="0"/>
    </xf>
    <xf numFmtId="39" fontId="29" fillId="0" borderId="25" xfId="1" applyNumberFormat="1" applyFont="1" applyFill="1" applyBorder="1" applyAlignment="1" applyProtection="1">
      <alignment horizontal="center" vertical="center"/>
      <protection locked="0"/>
    </xf>
    <xf numFmtId="39" fontId="28" fillId="0" borderId="7" xfId="1" applyNumberFormat="1" applyFont="1" applyFill="1" applyBorder="1" applyAlignment="1" applyProtection="1">
      <alignment horizontal="center" vertical="center"/>
      <protection locked="0"/>
    </xf>
    <xf numFmtId="39" fontId="28" fillId="0" borderId="25" xfId="1" applyNumberFormat="1" applyFont="1" applyFill="1" applyBorder="1" applyAlignment="1" applyProtection="1">
      <alignment horizontal="center" vertical="center"/>
      <protection locked="0"/>
    </xf>
    <xf numFmtId="167" fontId="26" fillId="0" borderId="7" xfId="1" applyNumberFormat="1" applyFont="1" applyBorder="1" applyAlignment="1" applyProtection="1">
      <alignment horizontal="center" vertical="center"/>
    </xf>
    <xf numFmtId="4" fontId="26" fillId="0" borderId="7" xfId="1" applyNumberFormat="1" applyFont="1" applyBorder="1" applyAlignment="1" applyProtection="1">
      <alignment horizontal="center" vertical="center"/>
    </xf>
    <xf numFmtId="4" fontId="26" fillId="0" borderId="25" xfId="1" applyNumberFormat="1" applyFont="1" applyBorder="1" applyAlignment="1" applyProtection="1">
      <alignment horizontal="center" vertical="center"/>
    </xf>
    <xf numFmtId="4" fontId="28" fillId="0" borderId="1" xfId="0" applyNumberFormat="1" applyFont="1" applyBorder="1" applyAlignment="1" applyProtection="1">
      <alignment horizontal="center" vertical="center"/>
      <protection locked="0"/>
    </xf>
    <xf numFmtId="4" fontId="28" fillId="0" borderId="23" xfId="0" applyNumberFormat="1" applyFont="1" applyBorder="1" applyAlignment="1" applyProtection="1">
      <alignment horizontal="center" vertical="center"/>
      <protection locked="0"/>
    </xf>
    <xf numFmtId="0" fontId="25" fillId="3" borderId="20" xfId="0" applyFont="1" applyFill="1" applyBorder="1" applyAlignment="1">
      <alignment horizontal="left" vertical="center"/>
    </xf>
    <xf numFmtId="0" fontId="25" fillId="3" borderId="11" xfId="0" applyFont="1" applyFill="1" applyBorder="1" applyAlignment="1">
      <alignment horizontal="left" vertical="center"/>
    </xf>
    <xf numFmtId="0" fontId="25" fillId="3" borderId="24" xfId="0" applyFont="1" applyFill="1" applyBorder="1" applyAlignment="1">
      <alignment horizontal="left" vertical="center"/>
    </xf>
    <xf numFmtId="0" fontId="25" fillId="3" borderId="20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/>
    </xf>
    <xf numFmtId="39" fontId="29" fillId="0" borderId="4" xfId="1" applyNumberFormat="1" applyFont="1" applyBorder="1" applyAlignment="1" applyProtection="1">
      <alignment horizontal="center" vertical="center"/>
    </xf>
    <xf numFmtId="39" fontId="29" fillId="0" borderId="3" xfId="1" applyNumberFormat="1" applyFont="1" applyBorder="1" applyAlignment="1" applyProtection="1">
      <alignment horizontal="center" vertical="center"/>
    </xf>
    <xf numFmtId="39" fontId="29" fillId="0" borderId="21" xfId="1" applyNumberFormat="1" applyFont="1" applyBorder="1" applyAlignment="1" applyProtection="1">
      <alignment horizontal="center" vertical="center"/>
    </xf>
    <xf numFmtId="4" fontId="9" fillId="5" borderId="28" xfId="0" applyNumberFormat="1" applyFont="1" applyFill="1" applyBorder="1" applyAlignment="1">
      <alignment horizontal="center" vertical="center"/>
    </xf>
    <xf numFmtId="4" fontId="9" fillId="5" borderId="27" xfId="0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34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top" wrapText="1"/>
    </xf>
    <xf numFmtId="0" fontId="26" fillId="2" borderId="0" xfId="0" applyFont="1" applyFill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27" fillId="0" borderId="33" xfId="0" applyFont="1" applyBorder="1" applyAlignment="1" applyProtection="1">
      <alignment horizontal="center" vertical="center"/>
      <protection locked="0"/>
    </xf>
    <xf numFmtId="0" fontId="27" fillId="0" borderId="6" xfId="0" applyFont="1" applyBorder="1" applyAlignment="1" applyProtection="1">
      <alignment horizontal="center" vertical="center"/>
      <protection locked="0"/>
    </xf>
    <xf numFmtId="0" fontId="34" fillId="2" borderId="0" xfId="0" applyFont="1" applyFill="1" applyAlignment="1">
      <alignment horizontal="left" vertical="center"/>
    </xf>
    <xf numFmtId="0" fontId="25" fillId="3" borderId="14" xfId="0" applyFont="1" applyFill="1" applyBorder="1" applyAlignment="1">
      <alignment horizontal="left" vertical="center"/>
    </xf>
    <xf numFmtId="0" fontId="36" fillId="2" borderId="0" xfId="0" applyFont="1" applyFill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32" fillId="2" borderId="19" xfId="0" applyFont="1" applyFill="1" applyBorder="1" applyAlignment="1">
      <alignment horizontal="center" vertical="center"/>
    </xf>
    <xf numFmtId="0" fontId="32" fillId="2" borderId="31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left" vertical="center"/>
    </xf>
    <xf numFmtId="0" fontId="26" fillId="2" borderId="9" xfId="0" applyFont="1" applyFill="1" applyBorder="1" applyAlignment="1">
      <alignment horizontal="left" vertical="center"/>
    </xf>
    <xf numFmtId="49" fontId="26" fillId="2" borderId="33" xfId="0" applyNumberFormat="1" applyFont="1" applyFill="1" applyBorder="1" applyAlignment="1" applyProtection="1">
      <alignment horizontal="center" vertical="center"/>
      <protection locked="0"/>
    </xf>
    <xf numFmtId="49" fontId="26" fillId="2" borderId="35" xfId="0" applyNumberFormat="1" applyFont="1" applyFill="1" applyBorder="1" applyAlignment="1" applyProtection="1">
      <alignment horizontal="center" vertical="center"/>
      <protection locked="0"/>
    </xf>
    <xf numFmtId="49" fontId="26" fillId="2" borderId="6" xfId="0" applyNumberFormat="1" applyFont="1" applyFill="1" applyBorder="1" applyAlignment="1" applyProtection="1">
      <alignment horizontal="center" vertical="center"/>
      <protection locked="0"/>
    </xf>
    <xf numFmtId="0" fontId="26" fillId="2" borderId="33" xfId="0" applyFont="1" applyFill="1" applyBorder="1" applyAlignment="1" applyProtection="1">
      <alignment horizontal="center" vertical="center"/>
      <protection locked="0"/>
    </xf>
    <xf numFmtId="0" fontId="26" fillId="2" borderId="35" xfId="0" applyFont="1" applyFill="1" applyBorder="1" applyAlignment="1" applyProtection="1">
      <alignment horizontal="center" vertical="center"/>
      <protection locked="0"/>
    </xf>
    <xf numFmtId="0" fontId="26" fillId="2" borderId="6" xfId="0" applyFont="1" applyFill="1" applyBorder="1" applyAlignment="1" applyProtection="1">
      <alignment horizontal="center" vertical="center"/>
      <protection locked="0"/>
    </xf>
    <xf numFmtId="4" fontId="29" fillId="0" borderId="4" xfId="1" applyNumberFormat="1" applyFont="1" applyBorder="1" applyAlignment="1" applyProtection="1">
      <alignment horizontal="center" vertical="center"/>
      <protection locked="0"/>
    </xf>
    <xf numFmtId="4" fontId="29" fillId="0" borderId="3" xfId="1" applyNumberFormat="1" applyFont="1" applyBorder="1" applyAlignment="1" applyProtection="1">
      <alignment horizontal="center" vertical="center"/>
      <protection locked="0"/>
    </xf>
    <xf numFmtId="4" fontId="29" fillId="0" borderId="21" xfId="1" applyNumberFormat="1" applyFont="1" applyBorder="1" applyAlignment="1" applyProtection="1">
      <alignment horizontal="center" vertical="center"/>
      <protection locked="0"/>
    </xf>
    <xf numFmtId="0" fontId="23" fillId="3" borderId="20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4" xfId="0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left" vertical="center"/>
    </xf>
    <xf numFmtId="0" fontId="23" fillId="3" borderId="11" xfId="0" applyFont="1" applyFill="1" applyBorder="1" applyAlignment="1">
      <alignment horizontal="left" vertical="center"/>
    </xf>
    <xf numFmtId="0" fontId="23" fillId="3" borderId="24" xfId="0" applyFont="1" applyFill="1" applyBorder="1" applyAlignment="1">
      <alignment horizontal="left" vertical="center"/>
    </xf>
    <xf numFmtId="0" fontId="26" fillId="0" borderId="4" xfId="7" applyFont="1" applyBorder="1" applyAlignment="1">
      <alignment horizontal="left" vertical="center"/>
    </xf>
    <xf numFmtId="0" fontId="26" fillId="0" borderId="3" xfId="7" applyFont="1" applyBorder="1" applyAlignment="1">
      <alignment horizontal="left" vertical="center"/>
    </xf>
    <xf numFmtId="0" fontId="26" fillId="0" borderId="5" xfId="7" applyFont="1" applyBorder="1" applyAlignment="1">
      <alignment horizontal="left" vertical="center"/>
    </xf>
  </cellXfs>
  <cellStyles count="11">
    <cellStyle name="Comma" xfId="1" builtinId="3"/>
    <cellStyle name="Comma 2" xfId="4" xr:uid="{00000000-0005-0000-0000-000001000000}"/>
    <cellStyle name="Comma 2 2" xfId="5" xr:uid="{00000000-0005-0000-0000-000002000000}"/>
    <cellStyle name="Comma 3" xfId="8" xr:uid="{00000000-0005-0000-0000-000003000000}"/>
    <cellStyle name="Comma 7" xfId="2" xr:uid="{00000000-0005-0000-0000-000004000000}"/>
    <cellStyle name="Normal" xfId="0" builtinId="0"/>
    <cellStyle name="Normal 10 4" xfId="6" xr:uid="{00000000-0005-0000-0000-000006000000}"/>
    <cellStyle name="Normal 2" xfId="7" xr:uid="{00000000-0005-0000-0000-000007000000}"/>
    <cellStyle name="Normal 2 2" xfId="3" xr:uid="{00000000-0005-0000-0000-000008000000}"/>
    <cellStyle name="Percent" xfId="10" builtinId="5"/>
    <cellStyle name="Percent 2" xfId="9" xr:uid="{00000000-0005-0000-0000-00000A000000}"/>
  </cellStyles>
  <dxfs count="0"/>
  <tableStyles count="0" defaultTableStyle="TableStyleMedium2" defaultPivotStyle="PivotStyleLight16"/>
  <colors>
    <mruColors>
      <color rgb="FF82BC00"/>
      <color rgb="FF5754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126058</xdr:colOff>
      <xdr:row>1</xdr:row>
      <xdr:rowOff>92048</xdr:rowOff>
    </xdr:from>
    <xdr:to>
      <xdr:col>5</xdr:col>
      <xdr:colOff>285818</xdr:colOff>
      <xdr:row>5</xdr:row>
      <xdr:rowOff>140201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5FBE6E6-0F54-4956-A8D2-24F6C8100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58" y="282548"/>
          <a:ext cx="2277112" cy="9625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64"/>
  <sheetViews>
    <sheetView showGridLines="0" tabSelected="1" zoomScale="85" zoomScaleNormal="85" zoomScaleSheetLayoutView="85" workbookViewId="0">
      <selection activeCell="U7" sqref="U7:V7"/>
    </sheetView>
  </sheetViews>
  <sheetFormatPr defaultColWidth="0" defaultRowHeight="14.5" zeroHeight="1"/>
  <cols>
    <col min="1" max="1" width="1.54296875" style="7" customWidth="1"/>
    <col min="2" max="2" width="4.7265625" style="8" customWidth="1"/>
    <col min="3" max="3" width="4.26953125" style="7" customWidth="1"/>
    <col min="4" max="4" width="11.81640625" style="7" customWidth="1"/>
    <col min="5" max="5" width="9.1796875" style="7" customWidth="1"/>
    <col min="6" max="7" width="4.7265625" style="7" customWidth="1"/>
    <col min="8" max="9" width="9.1796875" style="7" customWidth="1"/>
    <col min="10" max="10" width="4.7265625" style="7" customWidth="1"/>
    <col min="11" max="12" width="9.1796875" style="7" customWidth="1"/>
    <col min="13" max="13" width="7.81640625" style="7" customWidth="1"/>
    <col min="14" max="14" width="4.7265625" style="7" customWidth="1"/>
    <col min="15" max="15" width="11.1796875" style="7" customWidth="1"/>
    <col min="16" max="16" width="10.1796875" style="7" customWidth="1"/>
    <col min="17" max="17" width="9.1796875" style="7" customWidth="1"/>
    <col min="18" max="18" width="6.26953125" style="7" customWidth="1"/>
    <col min="19" max="19" width="6.453125" style="7" customWidth="1"/>
    <col min="20" max="20" width="8" style="7" customWidth="1"/>
    <col min="21" max="21" width="9.1796875" style="7" customWidth="1"/>
    <col min="22" max="22" width="8.453125" style="7" customWidth="1"/>
    <col min="23" max="23" width="1.1796875" style="7" customWidth="1"/>
    <col min="24" max="24" width="19.26953125" style="7" hidden="1" customWidth="1"/>
    <col min="25" max="25" width="9.1796875" style="7" hidden="1" customWidth="1"/>
    <col min="26" max="26" width="5.1796875" style="7" hidden="1" customWidth="1"/>
    <col min="27" max="16384" width="9.1796875" style="7" hidden="1"/>
  </cols>
  <sheetData>
    <row r="1" spans="1:23"/>
    <row r="2" spans="1:23" ht="18" customHeight="1"/>
    <row r="3" spans="1:23" ht="18" customHeight="1">
      <c r="A3" s="9"/>
      <c r="B3" s="10"/>
      <c r="C3" s="9"/>
      <c r="D3" s="9"/>
      <c r="E3" s="1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52"/>
      <c r="V3" s="152"/>
    </row>
    <row r="4" spans="1:23" ht="18" customHeight="1">
      <c r="A4" s="9"/>
      <c r="B4" s="10"/>
      <c r="C4" s="9"/>
      <c r="D4" s="9"/>
      <c r="E4" s="12"/>
      <c r="G4" s="159" t="s">
        <v>37</v>
      </c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3" t="s">
        <v>38</v>
      </c>
      <c r="V4" s="153"/>
    </row>
    <row r="5" spans="1:23" ht="18" customHeight="1">
      <c r="A5" s="9"/>
      <c r="B5" s="10"/>
      <c r="C5" s="9"/>
      <c r="D5" s="9"/>
      <c r="E5" s="12"/>
      <c r="F5" s="13"/>
      <c r="G5" s="154" t="s">
        <v>18</v>
      </c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4"/>
      <c r="U5" s="15"/>
      <c r="V5" s="15"/>
      <c r="W5" s="14"/>
    </row>
    <row r="6" spans="1:23" ht="18" customHeight="1" thickBot="1">
      <c r="A6" s="9"/>
      <c r="B6" s="10"/>
      <c r="C6" s="9"/>
      <c r="D6" s="9"/>
      <c r="E6" s="12"/>
      <c r="F6" s="13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4"/>
      <c r="U6" s="15"/>
      <c r="V6" s="15"/>
      <c r="W6" s="14"/>
    </row>
    <row r="7" spans="1:23" ht="18" customHeight="1" thickBot="1">
      <c r="A7" s="9"/>
      <c r="B7" s="161" t="s">
        <v>79</v>
      </c>
      <c r="C7" s="161"/>
      <c r="D7" s="161"/>
      <c r="E7" s="12"/>
      <c r="F7" s="13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55" t="s">
        <v>19</v>
      </c>
      <c r="S7" s="155"/>
      <c r="T7" s="156"/>
      <c r="U7" s="157"/>
      <c r="V7" s="158"/>
      <c r="W7" s="17"/>
    </row>
    <row r="8" spans="1:23" ht="18" customHeight="1" thickBot="1">
      <c r="A8" s="9"/>
      <c r="B8" s="10"/>
      <c r="C8" s="9"/>
      <c r="D8" s="9"/>
      <c r="E8" s="12"/>
      <c r="F8" s="13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U8" s="162"/>
      <c r="V8" s="162"/>
      <c r="W8" s="14"/>
    </row>
    <row r="9" spans="1:23" s="20" customFormat="1" ht="23.15" customHeight="1">
      <c r="A9" s="18"/>
      <c r="B9" s="19" t="s">
        <v>1</v>
      </c>
      <c r="C9" s="141" t="s">
        <v>0</v>
      </c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60"/>
    </row>
    <row r="10" spans="1:23" s="24" customFormat="1" ht="23.15" customHeight="1" thickBot="1">
      <c r="A10" s="21"/>
      <c r="B10" s="163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3"/>
    </row>
    <row r="11" spans="1:23" s="24" customFormat="1" ht="23.15" customHeight="1" thickBot="1">
      <c r="A11" s="21"/>
      <c r="B11" s="163"/>
      <c r="C11" s="165" t="s">
        <v>58</v>
      </c>
      <c r="D11" s="165"/>
      <c r="E11" s="166"/>
      <c r="F11" s="167"/>
      <c r="G11" s="168"/>
      <c r="H11" s="168"/>
      <c r="I11" s="169"/>
      <c r="J11" s="25"/>
      <c r="K11" s="25"/>
      <c r="L11" s="165" t="s">
        <v>59</v>
      </c>
      <c r="M11" s="165"/>
      <c r="N11" s="165"/>
      <c r="O11" s="165"/>
      <c r="P11" s="170"/>
      <c r="Q11" s="171"/>
      <c r="R11" s="171"/>
      <c r="S11" s="171"/>
      <c r="T11" s="171"/>
      <c r="U11" s="172"/>
      <c r="V11" s="26"/>
    </row>
    <row r="12" spans="1:23" s="24" customFormat="1" ht="23.15" customHeight="1" thickBot="1">
      <c r="A12" s="21"/>
      <c r="B12" s="163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6"/>
    </row>
    <row r="13" spans="1:23" s="24" customFormat="1" ht="23.15" customHeight="1" thickBot="1">
      <c r="A13" s="21"/>
      <c r="B13" s="163"/>
      <c r="C13" s="165" t="s">
        <v>23</v>
      </c>
      <c r="D13" s="165"/>
      <c r="E13" s="166"/>
      <c r="F13" s="170"/>
      <c r="G13" s="171"/>
      <c r="H13" s="171"/>
      <c r="I13" s="172"/>
      <c r="J13" s="25"/>
      <c r="K13" s="25"/>
      <c r="L13" s="165" t="s">
        <v>25</v>
      </c>
      <c r="M13" s="165"/>
      <c r="N13" s="165"/>
      <c r="O13" s="165"/>
      <c r="P13" s="170"/>
      <c r="Q13" s="171"/>
      <c r="R13" s="171"/>
      <c r="S13" s="171"/>
      <c r="T13" s="171"/>
      <c r="U13" s="172"/>
      <c r="V13" s="26"/>
    </row>
    <row r="14" spans="1:23" s="24" customFormat="1" ht="23.15" customHeight="1" thickBot="1">
      <c r="A14" s="21"/>
      <c r="B14" s="163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6"/>
    </row>
    <row r="15" spans="1:23" s="24" customFormat="1" ht="23.15" customHeight="1" thickBot="1">
      <c r="A15" s="21"/>
      <c r="B15" s="163"/>
      <c r="C15" s="165" t="s">
        <v>24</v>
      </c>
      <c r="D15" s="165"/>
      <c r="E15" s="166"/>
      <c r="F15" s="170" t="s">
        <v>12</v>
      </c>
      <c r="G15" s="171"/>
      <c r="H15" s="171"/>
      <c r="I15" s="172"/>
      <c r="J15" s="25"/>
      <c r="K15" s="25"/>
      <c r="L15" s="165" t="s">
        <v>26</v>
      </c>
      <c r="M15" s="165"/>
      <c r="N15" s="165"/>
      <c r="O15" s="165"/>
      <c r="P15" s="5"/>
      <c r="Q15" s="5"/>
      <c r="R15" s="167"/>
      <c r="S15" s="169"/>
      <c r="T15" s="25"/>
      <c r="U15" s="25"/>
      <c r="V15" s="26"/>
    </row>
    <row r="16" spans="1:23" s="24" customFormat="1" ht="23.15" customHeight="1" thickBot="1">
      <c r="A16" s="21"/>
      <c r="B16" s="164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8" t="s">
        <v>27</v>
      </c>
      <c r="Q16" s="28" t="s">
        <v>28</v>
      </c>
      <c r="R16" s="116" t="s">
        <v>29</v>
      </c>
      <c r="S16" s="116"/>
      <c r="T16" s="27"/>
      <c r="U16" s="27"/>
      <c r="V16" s="29"/>
    </row>
    <row r="17" spans="1:24" ht="23.15" customHeight="1" thickBot="1">
      <c r="A17" s="117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</row>
    <row r="18" spans="1:24" s="20" customFormat="1" ht="23.15" customHeight="1">
      <c r="B18" s="30" t="s">
        <v>2</v>
      </c>
      <c r="C18" s="141" t="s">
        <v>64</v>
      </c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3"/>
      <c r="T18" s="176" t="s">
        <v>49</v>
      </c>
      <c r="U18" s="177"/>
      <c r="V18" s="178"/>
      <c r="X18" s="7"/>
    </row>
    <row r="19" spans="1:24" ht="23.15" customHeight="1">
      <c r="B19" s="31">
        <v>1</v>
      </c>
      <c r="C19" s="104" t="s">
        <v>30</v>
      </c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6"/>
      <c r="S19" s="35" t="s">
        <v>60</v>
      </c>
      <c r="T19" s="173">
        <v>0</v>
      </c>
      <c r="U19" s="174"/>
      <c r="V19" s="175"/>
    </row>
    <row r="20" spans="1:24" ht="23.15" customHeight="1">
      <c r="B20" s="31">
        <v>2</v>
      </c>
      <c r="C20" s="104" t="s">
        <v>62</v>
      </c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6"/>
      <c r="S20" s="35" t="s">
        <v>60</v>
      </c>
      <c r="T20" s="89">
        <v>0</v>
      </c>
      <c r="U20" s="89"/>
      <c r="V20" s="90"/>
    </row>
    <row r="21" spans="1:24" ht="23.15" customHeight="1">
      <c r="B21" s="31">
        <v>3</v>
      </c>
      <c r="C21" s="104" t="s">
        <v>31</v>
      </c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6"/>
      <c r="S21" s="35" t="s">
        <v>60</v>
      </c>
      <c r="T21" s="130">
        <v>0</v>
      </c>
      <c r="U21" s="130"/>
      <c r="V21" s="131"/>
    </row>
    <row r="22" spans="1:24" ht="23.15" customHeight="1">
      <c r="B22" s="31">
        <v>4</v>
      </c>
      <c r="C22" s="104" t="s">
        <v>32</v>
      </c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6"/>
      <c r="S22" s="35" t="s">
        <v>60</v>
      </c>
      <c r="T22" s="89">
        <v>0</v>
      </c>
      <c r="U22" s="89"/>
      <c r="V22" s="90"/>
      <c r="W22" s="36"/>
    </row>
    <row r="23" spans="1:24" ht="23.15" customHeight="1">
      <c r="B23" s="31">
        <v>5</v>
      </c>
      <c r="C23" s="32" t="s">
        <v>69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4"/>
      <c r="S23" s="35" t="s">
        <v>60</v>
      </c>
      <c r="T23" s="89">
        <v>0</v>
      </c>
      <c r="U23" s="89"/>
      <c r="V23" s="90"/>
      <c r="W23" s="36"/>
    </row>
    <row r="24" spans="1:24" ht="23.15" customHeight="1">
      <c r="B24" s="31">
        <v>6</v>
      </c>
      <c r="C24" s="104" t="s">
        <v>20</v>
      </c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6"/>
      <c r="S24" s="35" t="s">
        <v>60</v>
      </c>
      <c r="T24" s="139">
        <v>0</v>
      </c>
      <c r="U24" s="139"/>
      <c r="V24" s="140"/>
    </row>
    <row r="25" spans="1:24" ht="23.15" customHeight="1" thickBot="1">
      <c r="B25" s="37">
        <v>7</v>
      </c>
      <c r="C25" s="110" t="s">
        <v>70</v>
      </c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2"/>
      <c r="S25" s="38" t="s">
        <v>61</v>
      </c>
      <c r="T25" s="119">
        <f>SUM(T19:V24)</f>
        <v>0</v>
      </c>
      <c r="U25" s="119"/>
      <c r="V25" s="120"/>
    </row>
    <row r="26" spans="1:24" ht="23.15" customHeight="1" thickBot="1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</row>
    <row r="27" spans="1:24" s="20" customFormat="1" ht="23.15" customHeight="1">
      <c r="B27" s="30" t="s">
        <v>3</v>
      </c>
      <c r="C27" s="179" t="s">
        <v>57</v>
      </c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1"/>
      <c r="T27" s="144" t="s">
        <v>49</v>
      </c>
      <c r="U27" s="145"/>
      <c r="V27" s="146"/>
    </row>
    <row r="28" spans="1:24" ht="23.15" customHeight="1">
      <c r="B28" s="31">
        <v>8</v>
      </c>
      <c r="C28" s="107" t="s">
        <v>33</v>
      </c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9"/>
      <c r="S28" s="39" t="s">
        <v>60</v>
      </c>
      <c r="T28" s="173">
        <v>0</v>
      </c>
      <c r="U28" s="174"/>
      <c r="V28" s="175"/>
    </row>
    <row r="29" spans="1:24" ht="23.15" customHeight="1">
      <c r="B29" s="31">
        <v>9</v>
      </c>
      <c r="C29" s="104" t="s">
        <v>34</v>
      </c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6"/>
      <c r="S29" s="35" t="s">
        <v>60</v>
      </c>
      <c r="T29" s="173">
        <v>0</v>
      </c>
      <c r="U29" s="174"/>
      <c r="V29" s="175"/>
    </row>
    <row r="30" spans="1:24" ht="23.15" customHeight="1" thickBot="1">
      <c r="B30" s="37">
        <v>10</v>
      </c>
      <c r="C30" s="110" t="s">
        <v>71</v>
      </c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2"/>
      <c r="S30" s="38" t="s">
        <v>61</v>
      </c>
      <c r="T30" s="119">
        <f>+SUM(T28:V29)</f>
        <v>0</v>
      </c>
      <c r="U30" s="119"/>
      <c r="V30" s="120"/>
    </row>
    <row r="31" spans="1:24" ht="23.15" customHeight="1" thickBot="1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</row>
    <row r="32" spans="1:24" s="20" customFormat="1" ht="23.15" customHeight="1">
      <c r="B32" s="30" t="s">
        <v>4</v>
      </c>
      <c r="C32" s="141" t="s">
        <v>35</v>
      </c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3"/>
      <c r="T32" s="144" t="s">
        <v>49</v>
      </c>
      <c r="U32" s="145"/>
      <c r="V32" s="146"/>
    </row>
    <row r="33" spans="1:24" ht="23.15" customHeight="1">
      <c r="B33" s="31">
        <v>11</v>
      </c>
      <c r="C33" s="104" t="s">
        <v>35</v>
      </c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6"/>
      <c r="S33" s="35" t="s">
        <v>60</v>
      </c>
      <c r="T33" s="173">
        <v>0</v>
      </c>
      <c r="U33" s="174"/>
      <c r="V33" s="175"/>
    </row>
    <row r="34" spans="1:24" ht="23.15" customHeight="1" thickBot="1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</row>
    <row r="35" spans="1:24" s="20" customFormat="1" ht="23.15" customHeight="1">
      <c r="B35" s="30" t="s">
        <v>5</v>
      </c>
      <c r="C35" s="141" t="s">
        <v>21</v>
      </c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3"/>
      <c r="T35" s="144" t="s">
        <v>49</v>
      </c>
      <c r="U35" s="145"/>
      <c r="V35" s="146"/>
    </row>
    <row r="36" spans="1:24" ht="23.15" customHeight="1" thickBot="1">
      <c r="B36" s="40">
        <v>12</v>
      </c>
      <c r="C36" s="113" t="s">
        <v>72</v>
      </c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5"/>
      <c r="S36" s="41" t="s">
        <v>61</v>
      </c>
      <c r="T36" s="150">
        <f>+T30+T25+T33</f>
        <v>0</v>
      </c>
      <c r="U36" s="150"/>
      <c r="V36" s="151"/>
    </row>
    <row r="37" spans="1:24" ht="23.15" customHeight="1" thickBot="1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</row>
    <row r="38" spans="1:24" s="20" customFormat="1" ht="23.15" customHeight="1">
      <c r="B38" s="30" t="s">
        <v>51</v>
      </c>
      <c r="C38" s="141" t="s">
        <v>22</v>
      </c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3"/>
      <c r="T38" s="144" t="s">
        <v>49</v>
      </c>
      <c r="U38" s="145"/>
      <c r="V38" s="146"/>
    </row>
    <row r="39" spans="1:24" ht="23.15" customHeight="1">
      <c r="B39" s="31">
        <v>13</v>
      </c>
      <c r="C39" s="107" t="s">
        <v>53</v>
      </c>
      <c r="D39" s="108"/>
      <c r="E39" s="108"/>
      <c r="F39" s="108"/>
      <c r="G39" s="108"/>
      <c r="H39" s="108"/>
      <c r="I39" s="108"/>
      <c r="J39" s="108"/>
      <c r="K39" s="108"/>
      <c r="L39" s="42">
        <v>7.0000000000000007E-2</v>
      </c>
      <c r="M39" s="107" t="s">
        <v>73</v>
      </c>
      <c r="N39" s="108"/>
      <c r="O39" s="108"/>
      <c r="P39" s="108"/>
      <c r="Q39" s="108"/>
      <c r="R39" s="109"/>
      <c r="S39" s="43" t="s">
        <v>61</v>
      </c>
      <c r="T39" s="147">
        <f>+L39*T25</f>
        <v>0</v>
      </c>
      <c r="U39" s="148"/>
      <c r="V39" s="149"/>
      <c r="X39" s="44"/>
    </row>
    <row r="40" spans="1:24" ht="23.15" customHeight="1">
      <c r="B40" s="31">
        <v>14</v>
      </c>
      <c r="C40" s="104" t="s">
        <v>74</v>
      </c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6"/>
      <c r="S40" s="45" t="s">
        <v>61</v>
      </c>
      <c r="T40" s="147">
        <f>T33*27%</f>
        <v>0</v>
      </c>
      <c r="U40" s="148"/>
      <c r="V40" s="149"/>
    </row>
    <row r="41" spans="1:24" ht="23.15" customHeight="1">
      <c r="B41" s="31">
        <v>15</v>
      </c>
      <c r="C41" s="182" t="s">
        <v>75</v>
      </c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4"/>
      <c r="S41" s="46" t="s">
        <v>61</v>
      </c>
      <c r="T41" s="126">
        <f>SUM(T39:V40)</f>
        <v>0</v>
      </c>
      <c r="U41" s="126"/>
      <c r="V41" s="127"/>
    </row>
    <row r="42" spans="1:24" ht="23.15" customHeight="1">
      <c r="B42" s="31">
        <v>16</v>
      </c>
      <c r="C42" s="104" t="s">
        <v>67</v>
      </c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6"/>
      <c r="S42" s="45" t="s">
        <v>63</v>
      </c>
      <c r="T42" s="130">
        <v>0</v>
      </c>
      <c r="U42" s="130"/>
      <c r="V42" s="131"/>
    </row>
    <row r="43" spans="1:24" ht="23.15" customHeight="1">
      <c r="B43" s="31">
        <v>17</v>
      </c>
      <c r="C43" s="104" t="s">
        <v>68</v>
      </c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6"/>
      <c r="S43" s="45" t="s">
        <v>63</v>
      </c>
      <c r="T43" s="89">
        <v>0</v>
      </c>
      <c r="U43" s="89"/>
      <c r="V43" s="90"/>
      <c r="W43" s="36"/>
    </row>
    <row r="44" spans="1:24" ht="23.15" customHeight="1">
      <c r="B44" s="31">
        <v>18</v>
      </c>
      <c r="C44" s="104" t="s">
        <v>54</v>
      </c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6"/>
      <c r="S44" s="45" t="s">
        <v>63</v>
      </c>
      <c r="T44" s="139">
        <v>0</v>
      </c>
      <c r="U44" s="139"/>
      <c r="V44" s="140"/>
    </row>
    <row r="45" spans="1:24" ht="23.15" customHeight="1">
      <c r="B45" s="31">
        <v>19</v>
      </c>
      <c r="C45" s="182" t="s">
        <v>76</v>
      </c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4"/>
      <c r="S45" s="46" t="s">
        <v>61</v>
      </c>
      <c r="T45" s="136">
        <f>IF(+T41-T42-T43-T44&lt;0,0,+T41-T42-T43-T44)</f>
        <v>0</v>
      </c>
      <c r="U45" s="137"/>
      <c r="V45" s="138"/>
      <c r="X45" s="47"/>
    </row>
    <row r="46" spans="1:24" ht="23.15" customHeight="1">
      <c r="B46" s="31">
        <v>20</v>
      </c>
      <c r="C46" s="104" t="s">
        <v>65</v>
      </c>
      <c r="D46" s="105"/>
      <c r="E46" s="105"/>
      <c r="F46" s="105"/>
      <c r="G46" s="105"/>
      <c r="H46" s="105"/>
      <c r="I46" s="105"/>
      <c r="J46" s="105"/>
      <c r="K46" s="106"/>
      <c r="L46" s="6"/>
      <c r="M46" s="104"/>
      <c r="N46" s="105"/>
      <c r="O46" s="105"/>
      <c r="P46" s="105"/>
      <c r="Q46" s="105"/>
      <c r="R46" s="106"/>
      <c r="S46" s="45" t="s">
        <v>60</v>
      </c>
      <c r="T46" s="134">
        <v>0</v>
      </c>
      <c r="U46" s="134"/>
      <c r="V46" s="135"/>
      <c r="W46" s="36"/>
      <c r="X46" s="47"/>
    </row>
    <row r="47" spans="1:24" ht="23.15" customHeight="1">
      <c r="B47" s="31">
        <v>21</v>
      </c>
      <c r="C47" s="104" t="s">
        <v>52</v>
      </c>
      <c r="D47" s="105"/>
      <c r="E47" s="105"/>
      <c r="F47" s="105"/>
      <c r="G47" s="105"/>
      <c r="H47" s="105"/>
      <c r="I47" s="105"/>
      <c r="J47" s="105"/>
      <c r="K47" s="106"/>
      <c r="L47" s="6"/>
      <c r="M47" s="104"/>
      <c r="N47" s="105"/>
      <c r="O47" s="105"/>
      <c r="P47" s="105"/>
      <c r="Q47" s="105"/>
      <c r="R47" s="106"/>
      <c r="S47" s="45" t="s">
        <v>60</v>
      </c>
      <c r="T47" s="132">
        <v>0</v>
      </c>
      <c r="U47" s="132"/>
      <c r="V47" s="133"/>
      <c r="X47" s="47"/>
    </row>
    <row r="48" spans="1:24" ht="23.15" customHeight="1">
      <c r="B48" s="31">
        <v>22</v>
      </c>
      <c r="C48" s="104" t="s">
        <v>66</v>
      </c>
      <c r="D48" s="105"/>
      <c r="E48" s="105"/>
      <c r="F48" s="105"/>
      <c r="G48" s="105"/>
      <c r="H48" s="105"/>
      <c r="I48" s="105"/>
      <c r="J48" s="105"/>
      <c r="K48" s="106"/>
      <c r="L48" s="6"/>
      <c r="M48" s="104" t="s">
        <v>77</v>
      </c>
      <c r="N48" s="105"/>
      <c r="O48" s="105"/>
      <c r="P48" s="105"/>
      <c r="Q48" s="105"/>
      <c r="R48" s="106"/>
      <c r="S48" s="45" t="s">
        <v>60</v>
      </c>
      <c r="T48" s="134">
        <v>0</v>
      </c>
      <c r="U48" s="134"/>
      <c r="V48" s="135"/>
      <c r="W48" s="36"/>
      <c r="X48" s="47"/>
    </row>
    <row r="49" spans="2:26" ht="23.15" customHeight="1">
      <c r="B49" s="31">
        <v>23</v>
      </c>
      <c r="C49" s="104" t="s">
        <v>36</v>
      </c>
      <c r="D49" s="105"/>
      <c r="E49" s="105"/>
      <c r="F49" s="105"/>
      <c r="G49" s="105"/>
      <c r="H49" s="105"/>
      <c r="I49" s="105"/>
      <c r="J49" s="105"/>
      <c r="K49" s="106"/>
      <c r="L49" s="6"/>
      <c r="M49" s="104" t="s">
        <v>77</v>
      </c>
      <c r="N49" s="105"/>
      <c r="O49" s="105"/>
      <c r="P49" s="105"/>
      <c r="Q49" s="105"/>
      <c r="R49" s="106"/>
      <c r="S49" s="45" t="s">
        <v>60</v>
      </c>
      <c r="T49" s="132">
        <v>0</v>
      </c>
      <c r="U49" s="132"/>
      <c r="V49" s="133"/>
      <c r="X49" s="47"/>
    </row>
    <row r="50" spans="2:26" ht="23.15" customHeight="1" thickBot="1">
      <c r="B50" s="31">
        <v>24</v>
      </c>
      <c r="C50" s="110" t="s">
        <v>78</v>
      </c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2"/>
      <c r="S50" s="48" t="s">
        <v>61</v>
      </c>
      <c r="T50" s="118">
        <f>IF((T45+T46+T47+T48+T49)&lt;=0,0,(T45+T46+T47+T48+T49))</f>
        <v>0</v>
      </c>
      <c r="U50" s="119"/>
      <c r="V50" s="120"/>
    </row>
    <row r="51" spans="2:26" ht="23.15" customHeight="1" thickBot="1"/>
    <row r="52" spans="2:26" s="20" customFormat="1" ht="23.15" customHeight="1">
      <c r="B52" s="121" t="s">
        <v>55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3"/>
      <c r="P52" s="49" t="s">
        <v>56</v>
      </c>
      <c r="Q52" s="49"/>
      <c r="R52" s="49"/>
      <c r="S52" s="49"/>
      <c r="T52" s="49"/>
      <c r="U52" s="49"/>
      <c r="V52" s="50"/>
      <c r="W52" s="51"/>
      <c r="X52" s="52"/>
      <c r="Y52" s="52"/>
      <c r="Z52" s="52"/>
    </row>
    <row r="53" spans="2:26" s="20" customFormat="1" ht="23.15" customHeight="1">
      <c r="B53" s="53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5"/>
      <c r="P53" s="128"/>
      <c r="Q53" s="128"/>
      <c r="R53" s="128"/>
      <c r="S53" s="128"/>
      <c r="T53" s="128"/>
      <c r="U53" s="128"/>
      <c r="V53" s="129"/>
      <c r="W53" s="51"/>
      <c r="X53" s="52"/>
      <c r="Y53" s="52"/>
      <c r="Z53" s="52"/>
    </row>
    <row r="54" spans="2:26" ht="23.15" customHeight="1">
      <c r="B54" s="56"/>
      <c r="C54" s="57" t="s">
        <v>7</v>
      </c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58"/>
      <c r="P54" s="124" t="s">
        <v>6</v>
      </c>
      <c r="Q54" s="124"/>
      <c r="R54" s="124"/>
      <c r="S54" s="124"/>
      <c r="T54" s="124"/>
      <c r="U54" s="124"/>
      <c r="V54" s="125"/>
      <c r="W54" s="8"/>
      <c r="X54" s="91"/>
      <c r="Y54" s="91"/>
      <c r="Z54" s="91"/>
    </row>
    <row r="55" spans="2:26" ht="23.15" customHeight="1">
      <c r="B55" s="59"/>
      <c r="C55" s="92" t="s">
        <v>17</v>
      </c>
      <c r="D55" s="92"/>
      <c r="E55" s="93"/>
      <c r="F55" s="93"/>
      <c r="G55" s="93"/>
      <c r="H55" s="93"/>
      <c r="I55" s="93"/>
      <c r="J55" s="93"/>
      <c r="K55" s="93"/>
      <c r="L55" s="94" t="s">
        <v>8</v>
      </c>
      <c r="M55" s="94"/>
      <c r="N55" s="94"/>
      <c r="O55" s="60"/>
      <c r="P55" s="124"/>
      <c r="Q55" s="124"/>
      <c r="R55" s="124"/>
      <c r="S55" s="124"/>
      <c r="T55" s="124"/>
      <c r="U55" s="124"/>
      <c r="V55" s="125"/>
      <c r="W55" s="61"/>
      <c r="X55" s="91"/>
      <c r="Y55" s="91"/>
      <c r="Z55" s="91"/>
    </row>
    <row r="56" spans="2:26" ht="25.5" customHeight="1">
      <c r="B56" s="62"/>
      <c r="C56" s="95" t="s">
        <v>9</v>
      </c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63"/>
      <c r="P56" s="124"/>
      <c r="Q56" s="124"/>
      <c r="R56" s="124"/>
      <c r="S56" s="124"/>
      <c r="T56" s="124"/>
      <c r="U56" s="124"/>
      <c r="V56" s="125"/>
      <c r="W56" s="64"/>
      <c r="X56" s="91"/>
      <c r="Y56" s="91"/>
      <c r="Z56" s="91"/>
    </row>
    <row r="57" spans="2:26" ht="23.15" customHeight="1">
      <c r="B57" s="62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63"/>
      <c r="P57" s="124"/>
      <c r="Q57" s="124"/>
      <c r="R57" s="124"/>
      <c r="S57" s="124"/>
      <c r="T57" s="124"/>
      <c r="U57" s="124"/>
      <c r="V57" s="125"/>
      <c r="W57" s="65"/>
      <c r="X57" s="91"/>
      <c r="Y57" s="91"/>
      <c r="Z57" s="91"/>
    </row>
    <row r="58" spans="2:26" ht="22.5" customHeight="1">
      <c r="B58" s="62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63"/>
      <c r="P58" s="124"/>
      <c r="Q58" s="124"/>
      <c r="R58" s="124"/>
      <c r="S58" s="124"/>
      <c r="T58" s="124"/>
      <c r="U58" s="124"/>
      <c r="V58" s="125"/>
      <c r="W58" s="8"/>
      <c r="X58" s="91"/>
      <c r="Y58" s="91"/>
      <c r="Z58" s="91"/>
    </row>
    <row r="59" spans="2:26" ht="12.75" customHeight="1">
      <c r="B59" s="62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66"/>
      <c r="P59" s="124"/>
      <c r="Q59" s="124"/>
      <c r="R59" s="124"/>
      <c r="S59" s="124"/>
      <c r="T59" s="124"/>
      <c r="U59" s="124"/>
      <c r="V59" s="125"/>
      <c r="W59" s="61"/>
      <c r="X59" s="91"/>
      <c r="Y59" s="91"/>
      <c r="Z59" s="91"/>
    </row>
    <row r="60" spans="2:26" ht="23.15" customHeight="1">
      <c r="B60" s="62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8"/>
      <c r="O60" s="60"/>
      <c r="Q60" s="96"/>
      <c r="R60" s="96"/>
      <c r="S60" s="96"/>
      <c r="T60" s="96"/>
      <c r="U60" s="96"/>
      <c r="V60" s="69"/>
      <c r="W60" s="70"/>
      <c r="X60" s="91"/>
      <c r="Y60" s="91"/>
      <c r="Z60" s="91"/>
    </row>
    <row r="61" spans="2:26" ht="23.15" customHeight="1">
      <c r="B61" s="62"/>
      <c r="C61" s="97"/>
      <c r="D61" s="97"/>
      <c r="E61" s="97"/>
      <c r="F61" s="71"/>
      <c r="G61" s="72"/>
      <c r="H61" s="97"/>
      <c r="I61" s="97"/>
      <c r="J61" s="97"/>
      <c r="K61" s="97"/>
      <c r="L61" s="97"/>
      <c r="M61" s="97"/>
      <c r="N61" s="97"/>
      <c r="O61" s="60"/>
      <c r="Q61" s="98" t="s">
        <v>15</v>
      </c>
      <c r="R61" s="98"/>
      <c r="S61" s="98"/>
      <c r="T61" s="98"/>
      <c r="U61" s="98"/>
      <c r="V61" s="69"/>
      <c r="W61" s="73"/>
      <c r="X61" s="91"/>
      <c r="Y61" s="91"/>
      <c r="Z61" s="91"/>
    </row>
    <row r="62" spans="2:26" ht="23.15" customHeight="1" thickBot="1">
      <c r="B62" s="74"/>
      <c r="C62" s="99" t="s">
        <v>10</v>
      </c>
      <c r="D62" s="99"/>
      <c r="E62" s="99"/>
      <c r="F62" s="75"/>
      <c r="G62" s="76"/>
      <c r="H62" s="99" t="s">
        <v>11</v>
      </c>
      <c r="I62" s="99"/>
      <c r="J62" s="99"/>
      <c r="K62" s="99"/>
      <c r="L62" s="99"/>
      <c r="M62" s="99"/>
      <c r="N62" s="99"/>
      <c r="O62" s="77"/>
      <c r="P62" s="78"/>
      <c r="Q62" s="78"/>
      <c r="R62" s="78"/>
      <c r="S62" s="78"/>
      <c r="T62" s="78"/>
      <c r="U62" s="78"/>
      <c r="V62" s="79"/>
      <c r="W62" s="80"/>
      <c r="X62" s="91"/>
      <c r="Y62" s="91"/>
      <c r="Z62" s="91"/>
    </row>
    <row r="63" spans="2:26" ht="20.5">
      <c r="B63" s="81"/>
      <c r="C63" s="100"/>
      <c r="D63" s="100"/>
      <c r="E63" s="100"/>
      <c r="F63" s="82"/>
      <c r="G63" s="82"/>
      <c r="H63" s="101"/>
      <c r="I63" s="101"/>
      <c r="J63" s="101"/>
      <c r="K63" s="101"/>
      <c r="L63" s="82"/>
      <c r="M63" s="82"/>
      <c r="N63" s="81"/>
      <c r="O63" s="81"/>
      <c r="P63" s="9"/>
      <c r="Q63" s="83"/>
      <c r="R63" s="83"/>
      <c r="S63" s="84"/>
      <c r="T63" s="84"/>
      <c r="U63" s="83"/>
      <c r="V63" s="83"/>
      <c r="W63" s="83"/>
      <c r="X63" s="91"/>
      <c r="Y63" s="91"/>
      <c r="Z63" s="91"/>
    </row>
    <row r="64" spans="2:26" ht="31" hidden="1">
      <c r="B64" s="85"/>
      <c r="C64" s="102"/>
      <c r="D64" s="102"/>
      <c r="E64" s="102"/>
      <c r="F64" s="86"/>
      <c r="G64" s="102"/>
      <c r="H64" s="102"/>
      <c r="I64" s="102"/>
      <c r="J64" s="102"/>
      <c r="K64" s="102"/>
      <c r="L64" s="86"/>
      <c r="M64" s="86"/>
      <c r="N64" s="87"/>
      <c r="O64" s="87"/>
      <c r="P64" s="9"/>
      <c r="Q64" s="88"/>
      <c r="R64" s="88"/>
      <c r="S64" s="88"/>
      <c r="T64" s="88"/>
      <c r="U64" s="88"/>
      <c r="V64" s="88"/>
      <c r="W64" s="88"/>
      <c r="X64" s="91"/>
      <c r="Y64" s="91"/>
      <c r="Z64" s="91"/>
    </row>
  </sheetData>
  <sheetProtection algorithmName="SHA-512" hashValue="s5t1+6gWUhg/ar82EMG8pFs0un+X36ULUOU9ikHNYxb+/B4Fki6ZM6Ht28gv31r1MYYZQT9C9C9OhDX/AI1neQ==" saltValue="PRm2Ad4VGnSD+d1obLba1A==" spinCount="100000" sheet="1" objects="1" scenarios="1" selectLockedCells="1"/>
  <mergeCells count="109">
    <mergeCell ref="M48:R48"/>
    <mergeCell ref="M49:R49"/>
    <mergeCell ref="M39:R39"/>
    <mergeCell ref="C40:R40"/>
    <mergeCell ref="C41:R41"/>
    <mergeCell ref="C42:R42"/>
    <mergeCell ref="C43:R43"/>
    <mergeCell ref="C44:R44"/>
    <mergeCell ref="C45:R45"/>
    <mergeCell ref="C46:K46"/>
    <mergeCell ref="C47:K47"/>
    <mergeCell ref="M46:R46"/>
    <mergeCell ref="M47:R47"/>
    <mergeCell ref="A17:W17"/>
    <mergeCell ref="T29:V29"/>
    <mergeCell ref="T28:V28"/>
    <mergeCell ref="T20:V20"/>
    <mergeCell ref="T21:V21"/>
    <mergeCell ref="C18:S18"/>
    <mergeCell ref="T18:V18"/>
    <mergeCell ref="T19:V19"/>
    <mergeCell ref="C35:S35"/>
    <mergeCell ref="T35:V35"/>
    <mergeCell ref="A31:W31"/>
    <mergeCell ref="C32:S32"/>
    <mergeCell ref="T32:V32"/>
    <mergeCell ref="T33:V33"/>
    <mergeCell ref="T25:V25"/>
    <mergeCell ref="A26:W26"/>
    <mergeCell ref="C27:S27"/>
    <mergeCell ref="T27:V27"/>
    <mergeCell ref="T30:V30"/>
    <mergeCell ref="C25:R25"/>
    <mergeCell ref="C19:R19"/>
    <mergeCell ref="C20:R20"/>
    <mergeCell ref="C21:R21"/>
    <mergeCell ref="C22:R22"/>
    <mergeCell ref="U3:V3"/>
    <mergeCell ref="U4:V4"/>
    <mergeCell ref="G5:S5"/>
    <mergeCell ref="R7:T7"/>
    <mergeCell ref="U7:V7"/>
    <mergeCell ref="G4:T4"/>
    <mergeCell ref="C9:V9"/>
    <mergeCell ref="B7:D7"/>
    <mergeCell ref="T24:V24"/>
    <mergeCell ref="T22:V22"/>
    <mergeCell ref="U8:V8"/>
    <mergeCell ref="B10:B16"/>
    <mergeCell ref="C11:E11"/>
    <mergeCell ref="F11:I11"/>
    <mergeCell ref="L11:O11"/>
    <mergeCell ref="P11:U11"/>
    <mergeCell ref="C13:E13"/>
    <mergeCell ref="F13:I13"/>
    <mergeCell ref="L13:O13"/>
    <mergeCell ref="P13:U13"/>
    <mergeCell ref="C15:E15"/>
    <mergeCell ref="F15:I15"/>
    <mergeCell ref="L15:O15"/>
    <mergeCell ref="R15:S15"/>
    <mergeCell ref="R16:S16"/>
    <mergeCell ref="A34:W34"/>
    <mergeCell ref="T50:V50"/>
    <mergeCell ref="B52:O52"/>
    <mergeCell ref="P54:V59"/>
    <mergeCell ref="T41:V41"/>
    <mergeCell ref="P53:V53"/>
    <mergeCell ref="T42:V42"/>
    <mergeCell ref="T43:V43"/>
    <mergeCell ref="T47:V47"/>
    <mergeCell ref="T48:V48"/>
    <mergeCell ref="T49:V49"/>
    <mergeCell ref="T45:V45"/>
    <mergeCell ref="T46:V46"/>
    <mergeCell ref="T44:V44"/>
    <mergeCell ref="C48:K48"/>
    <mergeCell ref="C49:K49"/>
    <mergeCell ref="C38:S38"/>
    <mergeCell ref="T38:V38"/>
    <mergeCell ref="T39:V39"/>
    <mergeCell ref="T40:V40"/>
    <mergeCell ref="T36:V36"/>
    <mergeCell ref="A37:W37"/>
    <mergeCell ref="C39:K39"/>
    <mergeCell ref="T23:V23"/>
    <mergeCell ref="X54:Z64"/>
    <mergeCell ref="C55:D55"/>
    <mergeCell ref="E55:K55"/>
    <mergeCell ref="L55:N55"/>
    <mergeCell ref="C56:N59"/>
    <mergeCell ref="Q60:U60"/>
    <mergeCell ref="C61:E61"/>
    <mergeCell ref="H61:N61"/>
    <mergeCell ref="Q61:U61"/>
    <mergeCell ref="C62:E62"/>
    <mergeCell ref="H62:N62"/>
    <mergeCell ref="C63:E63"/>
    <mergeCell ref="H63:K63"/>
    <mergeCell ref="C64:E64"/>
    <mergeCell ref="G64:K64"/>
    <mergeCell ref="D54:N54"/>
    <mergeCell ref="C24:R24"/>
    <mergeCell ref="C28:R28"/>
    <mergeCell ref="C29:R29"/>
    <mergeCell ref="C30:R30"/>
    <mergeCell ref="C33:R33"/>
    <mergeCell ref="C36:R36"/>
    <mergeCell ref="C50:R50"/>
  </mergeCells>
  <printOptions horizontalCentered="1"/>
  <pageMargins left="0.23622047244094491" right="0.23622047244094491" top="0.39370078740157483" bottom="0.39370078740157483" header="0.31496062992125984" footer="0.31496062992125984"/>
  <pageSetup scale="62" orientation="portrait" r:id="rId1"/>
  <headerFooter>
    <oddFooter>&amp;RPág. &amp;P de &amp;N</oddFooter>
  </headerFooter>
  <rowBreaks count="2" manualBreakCount="2">
    <brk id="50" max="22" man="1"/>
    <brk id="63" max="24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'Lista Despegable'!$A$3:$A$11</xm:f>
          </x14:formula1>
          <xm:sqref>F15:I15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1"/>
  <sheetViews>
    <sheetView workbookViewId="0">
      <selection activeCell="D14" sqref="D14"/>
    </sheetView>
  </sheetViews>
  <sheetFormatPr defaultRowHeight="14.5"/>
  <cols>
    <col min="1" max="1" width="27.81640625" customWidth="1"/>
    <col min="2" max="2" width="4.54296875" customWidth="1"/>
    <col min="3" max="3" width="25" customWidth="1"/>
  </cols>
  <sheetData>
    <row r="2" spans="1:3">
      <c r="A2" s="4" t="s">
        <v>41</v>
      </c>
      <c r="C2" s="4" t="s">
        <v>50</v>
      </c>
    </row>
    <row r="3" spans="1:3">
      <c r="A3" s="3" t="s">
        <v>47</v>
      </c>
      <c r="C3" s="3" t="s">
        <v>39</v>
      </c>
    </row>
    <row r="4" spans="1:3">
      <c r="A4" s="3" t="s">
        <v>48</v>
      </c>
      <c r="C4" s="3" t="s">
        <v>40</v>
      </c>
    </row>
    <row r="5" spans="1:3">
      <c r="A5" s="3" t="s">
        <v>43</v>
      </c>
    </row>
    <row r="6" spans="1:3">
      <c r="A6" s="3" t="s">
        <v>42</v>
      </c>
    </row>
    <row r="7" spans="1:3">
      <c r="A7" s="3" t="s">
        <v>44</v>
      </c>
    </row>
    <row r="8" spans="1:3">
      <c r="A8" s="3" t="s">
        <v>12</v>
      </c>
    </row>
    <row r="9" spans="1:3">
      <c r="A9" s="3" t="s">
        <v>46</v>
      </c>
    </row>
    <row r="10" spans="1:3">
      <c r="A10" s="3" t="s">
        <v>13</v>
      </c>
    </row>
    <row r="11" spans="1:3">
      <c r="A11" s="3" t="s">
        <v>45</v>
      </c>
    </row>
  </sheetData>
  <sortState xmlns:xlrd2="http://schemas.microsoft.com/office/spreadsheetml/2017/richdata2" ref="A3:A11">
    <sortCondition ref="A3:A1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4.5"/>
  <cols>
    <col min="1" max="1" width="24.26953125" bestFit="1" customWidth="1"/>
  </cols>
  <sheetData>
    <row r="1" spans="1:1">
      <c r="A1" s="2" t="s">
        <v>16</v>
      </c>
    </row>
    <row r="2" spans="1:1">
      <c r="A2" s="1" t="s">
        <v>14</v>
      </c>
    </row>
    <row r="3" spans="1:1">
      <c r="A3" s="1" t="s">
        <v>12</v>
      </c>
    </row>
    <row r="4" spans="1:1">
      <c r="A4" s="1" t="s">
        <v>13</v>
      </c>
    </row>
  </sheetData>
  <customSheetViews>
    <customSheetView guid="{3BED45F5-124E-4443-9496-81F6FA7B1ECD}" state="hidden">
      <selection activeCell="L5" sqref="L5"/>
      <pageMargins left="0.7" right="0.7" top="0.75" bottom="0.75" header="0.3" footer="0.3"/>
    </customSheetView>
    <customSheetView guid="{99DDAF34-8281-4459-B21B-1F386C87505B}" state="hidden">
      <selection activeCell="L5" sqref="L5"/>
      <pageMargins left="0.7" right="0.7" top="0.75" bottom="0.75" header="0.3" footer="0.3"/>
    </customSheetView>
    <customSheetView guid="{FCDA46AD-99D0-4A73-8BF7-467A042726DF}" state="hidden">
      <selection activeCell="L5" sqref="L5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RS2</vt:lpstr>
      <vt:lpstr>Lista Despegable</vt:lpstr>
      <vt:lpstr>Desplegable DDJJ</vt:lpstr>
      <vt:lpstr>'RS2'!Print_Area</vt:lpstr>
      <vt:lpstr>'RS2'!Print_Titles</vt:lpstr>
    </vt:vector>
  </TitlesOfParts>
  <Company>Dirección Gral. De Impuestos Internos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 Calderon C</dc:creator>
  <cp:lastModifiedBy>Osvaldo E Perez P</cp:lastModifiedBy>
  <cp:lastPrinted>2022-02-01T21:08:02Z</cp:lastPrinted>
  <dcterms:created xsi:type="dcterms:W3CDTF">2018-11-21T12:08:59Z</dcterms:created>
  <dcterms:modified xsi:type="dcterms:W3CDTF">2024-09-10T12:54:37Z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fd64cbfb-a84b-4daf-ad34-2e04fe4a3e91</vt:lpwstr>
  </property>
</Properties>
</file>