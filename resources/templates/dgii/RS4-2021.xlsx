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C:\Users\operez\Downloads\"/>
    </mc:Choice>
  </mc:AlternateContent>
  <xr:revisionPtr revIDLastSave="0" documentId="13_ncr:1_{22178083-2AE2-43DF-A0EB-DAD95BD2970E}" xr6:coauthVersionLast="47" xr6:coauthVersionMax="47" xr10:uidLastSave="{00000000-0000-0000-0000-000000000000}"/>
  <workbookProtection workbookAlgorithmName="SHA-512" workbookHashValue="EFaIK3P2K7c4goL3PxC5yi6uMMRrYADJalTW0gji0XbMsdGnRhwFtJkO3MIi/7yv6gkpO9sgG1rJuFmD9cCphw==" workbookSaltValue="pdCxIARbTDJKEUfxP4knWA==" workbookSpinCount="100000" lockStructure="1"/>
  <bookViews>
    <workbookView xWindow="-110" yWindow="-110" windowWidth="29020" windowHeight="15820" tabRatio="933" xr2:uid="{00000000-000D-0000-FFFF-FFFF00000000}"/>
  </bookViews>
  <sheets>
    <sheet name="RS4" sheetId="5" r:id="rId1"/>
    <sheet name="Lista Despegable" sheetId="6" state="hidden" r:id="rId2"/>
    <sheet name="Desplegable DDJJ" sheetId="2" state="hidden" r:id="rId3"/>
  </sheets>
  <definedNames>
    <definedName name="_xlnm.Print_Area" localSheetId="0">'RS4'!$A$2:$W$71</definedName>
    <definedName name="_xlnm.Print_Titles" localSheetId="0">'RS4'!$2:$8</definedName>
  </definedNames>
  <calcPr calcId="191029"/>
  <customWorkbookViews>
    <customWorkbookView name="Sonia M Mendizabal G - Personal View" guid="{FCDA46AD-99D0-4A73-8BF7-467A042726DF}" mergeInterval="0" personalView="1" maximized="1" xWindow="-8" yWindow="-8" windowWidth="1936" windowHeight="1056" tabRatio="933" activeSheetId="1" showComments="commIndAndComment"/>
    <customWorkbookView name="Maria B Calderon C - Personal View" guid="{99DDAF34-8281-4459-B21B-1F386C87505B}" mergeInterval="0" personalView="1" maximized="1" xWindow="-8" yWindow="-8" windowWidth="1616" windowHeight="876" tabRatio="933" activeSheetId="8"/>
    <customWorkbookView name="Corinne V Villeta P - Personal View" guid="{3BED45F5-124E-4443-9496-81F6FA7B1ECD}" mergeInterval="0" personalView="1" maximized="1" xWindow="-8" yWindow="-8" windowWidth="1936" windowHeight="1056" tabRatio="933" activeSheetId="1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44" i="5" l="1"/>
  <c r="T46" i="5"/>
  <c r="T27" i="5"/>
  <c r="T35" i="5" l="1"/>
  <c r="T45" i="5" s="1"/>
  <c r="T41" i="5" l="1"/>
  <c r="T44" i="5"/>
  <c r="T48" i="5" l="1"/>
  <c r="T53" i="5" l="1"/>
  <c r="T58" i="5" s="1"/>
</calcChain>
</file>

<file path=xl/sharedStrings.xml><?xml version="1.0" encoding="utf-8"?>
<sst xmlns="http://schemas.openxmlformats.org/spreadsheetml/2006/main" count="847" uniqueCount="481">
  <si>
    <t>DATOS GENERALES</t>
  </si>
  <si>
    <t>I.</t>
  </si>
  <si>
    <t>II.</t>
  </si>
  <si>
    <t>III.</t>
  </si>
  <si>
    <t>IV.</t>
  </si>
  <si>
    <t>V.</t>
  </si>
  <si>
    <t>FIRMA Y SELLO</t>
  </si>
  <si>
    <t>YO</t>
  </si>
  <si>
    <t>POR LA PRESENTE</t>
  </si>
  <si>
    <t>AFIRMO BAJO JURAMENTO QUE LOS DATOS CONSIGNADOS EN LA PRESENTE DECLARACIÓN SON CORRECTOS Y COMPLETOS Y QUE NO HE OMITIDO NI FALSEADO DATO ALGUNO QUE LA MISMA DEBA CONTENER, SIENDO EN CONSECUENCIA TODO SU CONTENIDO LA FIEL EXPRESIÓN DE LA VERDAD.</t>
  </si>
  <si>
    <t>FECHA</t>
  </si>
  <si>
    <t>FIRMA</t>
  </si>
  <si>
    <t>NORMAL</t>
  </si>
  <si>
    <t>RECTIFICATIVA</t>
  </si>
  <si>
    <t>AJUSTE</t>
  </si>
  <si>
    <t>FECHA DE PAGO (DÍA/MES/AÑO)</t>
  </si>
  <si>
    <t>LISTA DESPLEGABLE</t>
  </si>
  <si>
    <t xml:space="preserve"> EN CALIDAD DE</t>
  </si>
  <si>
    <t>AÑO FISCAL</t>
  </si>
  <si>
    <t>TOTAL GENERAL DE LOS INGRESOS</t>
  </si>
  <si>
    <t>LIQUIDACIÓN</t>
  </si>
  <si>
    <t>RNC / Cédula</t>
  </si>
  <si>
    <t>Teléfono</t>
  </si>
  <si>
    <t>Tipo de Declaración</t>
  </si>
  <si>
    <t>Correo Electrónico</t>
  </si>
  <si>
    <t>Fecha Límite de Pago</t>
  </si>
  <si>
    <t>día</t>
  </si>
  <si>
    <t>mes</t>
  </si>
  <si>
    <t>año</t>
  </si>
  <si>
    <t>INGRESOS POR ALQUILERES</t>
  </si>
  <si>
    <t>INGRESOS POR COMISIONES</t>
  </si>
  <si>
    <t>INGRESOS POR INTERESES PROVENIENTES DE ENTIDADES FINANCIERAS</t>
  </si>
  <si>
    <t>DIVIDENDOS</t>
  </si>
  <si>
    <t>GANANCIA DE CAPITAL</t>
  </si>
  <si>
    <t>INTERÉS INDEMNIZATORIO</t>
  </si>
  <si>
    <t>Tipo de Persona</t>
  </si>
  <si>
    <t>Jurídica</t>
  </si>
  <si>
    <t>Actividad Económica</t>
  </si>
  <si>
    <t>RÉGIMEN SIMPLIFICADO DE TRIBUTACIÓN PARA EL SECTOR AGROPECUARIO</t>
  </si>
  <si>
    <t>RS4</t>
  </si>
  <si>
    <t>INGRESOS POR ACTIVIDAD AGROPECUARIA</t>
  </si>
  <si>
    <t>INGRESOS POR SERVICIOS NO AGROPECUARIOS</t>
  </si>
  <si>
    <t>Física</t>
  </si>
  <si>
    <t>TIPO DE DECLARACIÓN</t>
  </si>
  <si>
    <t>FISCALIZACIÓN INTERNA</t>
  </si>
  <si>
    <t>FINAL</t>
  </si>
  <si>
    <t>INFORMATIVA</t>
  </si>
  <si>
    <t>RECURSO CONTENCIOSO</t>
  </si>
  <si>
    <t>RECONSIDERACIÓN</t>
  </si>
  <si>
    <t>AJUSTE O ESTIMACIÓN</t>
  </si>
  <si>
    <t>CESE</t>
  </si>
  <si>
    <t>INGRESOS POR SALARIOS</t>
  </si>
  <si>
    <t>MONTO RD$</t>
  </si>
  <si>
    <t>TIPO DE PERSONA</t>
  </si>
  <si>
    <t>DECLARACIÓN JURADA DE IMPUESTO SOBRE LA RENTA PARA PERSONA FÍSICA O JURÍDICA</t>
  </si>
  <si>
    <t>INTERÉS INDEMNIZATORIO POR ANTICIPOS NO PAGADOS</t>
  </si>
  <si>
    <t xml:space="preserve">IMPUESTO A PAGAR EN EL RÉGIMEN SIMPLIFICADO DE TRIBUTACIÓN </t>
  </si>
  <si>
    <t>RETENCIONES POR HONORARIOS PROFESIONALES</t>
  </si>
  <si>
    <t>RETENCIONES POR SERVICIOS AL ESTADO</t>
  </si>
  <si>
    <t xml:space="preserve">PAGO A CUENTA </t>
  </si>
  <si>
    <t>VI.</t>
  </si>
  <si>
    <t xml:space="preserve">INGRESOS POR HONORARIOS </t>
  </si>
  <si>
    <t>INGRESOS NO SUJETOS A ESTE RÉGIMEN TRIBUTARIO</t>
  </si>
  <si>
    <t>COD_ACT_ECONOMICA</t>
  </si>
  <si>
    <t>ACT_ECONOMICA</t>
  </si>
  <si>
    <t>012261</t>
  </si>
  <si>
    <t>CRÍA DE GATOS Y PERROS</t>
  </si>
  <si>
    <t>012169</t>
  </si>
  <si>
    <t>CRÍA EN CABAÑAS DE GANADO N.C.P.</t>
  </si>
  <si>
    <t>011471</t>
  </si>
  <si>
    <t>CULTIVO DE CACAO</t>
  </si>
  <si>
    <t>011330</t>
  </si>
  <si>
    <t>CULTIVO DE FRUTAS CÍTRICAS (INCL. LIMA, LIMÓN, MANDARINA, NARANJA, MANGO, TORONJA, KINOTO, ETC.)</t>
  </si>
  <si>
    <t>011222</t>
  </si>
  <si>
    <t>CULTIVO DE PEPINOS Y PEPINILLOS</t>
  </si>
  <si>
    <t>011450</t>
  </si>
  <si>
    <t>CULTIVO DE TABACO</t>
  </si>
  <si>
    <t>011513</t>
  </si>
  <si>
    <t>PRODUCCIÓN DE SEMILLAS DE HORTALIZAS Y LEGUMBRES, FLORES Y PLANTAS ORNAMENTALES Y ÁRBOLES FRUTALES</t>
  </si>
  <si>
    <t>011521</t>
  </si>
  <si>
    <t>PRODUCTOS AGRICOLAS EN GENERAL</t>
  </si>
  <si>
    <t>020230</t>
  </si>
  <si>
    <t>RECOLECCIÓN DE PRODUCTOS SILVESTRES</t>
  </si>
  <si>
    <t>020120</t>
  </si>
  <si>
    <t>REPOBLACIÓN Y CONSERVACIÓN DE BOSQUES NATIVOS Y ZONAS FORESTADAS</t>
  </si>
  <si>
    <t>050301</t>
  </si>
  <si>
    <t>SERVICIOS PARA LA PESCA</t>
  </si>
  <si>
    <t>012290</t>
  </si>
  <si>
    <t>CRÍA DE ANIMALES Y OBTENCIÓN DE PRODUCTOS DE ORIGEN ANIMAL, N.C.P. (INCL. CIERVO, CONEJO EXCEPTO PARA PELO, GATO, LOMBRIZ PÁJARO,</t>
  </si>
  <si>
    <t>012212</t>
  </si>
  <si>
    <t>CRÍA DE AVES PARA PRODUCCIÓN DE HUEVOS (INCL. POLLITOS BB PARA POSTURA)</t>
  </si>
  <si>
    <t>011231</t>
  </si>
  <si>
    <t>CULTIVO DE ALCACHOFAS</t>
  </si>
  <si>
    <t>011111</t>
  </si>
  <si>
    <t>CULTIVO DE ARROZ</t>
  </si>
  <si>
    <t>011233</t>
  </si>
  <si>
    <t>CULTIVO DE COLES</t>
  </si>
  <si>
    <t>011251</t>
  </si>
  <si>
    <t>CULTIVO DE FLORES</t>
  </si>
  <si>
    <t>011320</t>
  </si>
  <si>
    <t>CULTIVO DE FRUTAS DE CAROZO (INCL. CEREZA, CIRUELA, DAMASCO, DURAZNO, PELÓN, ETC.)</t>
  </si>
  <si>
    <t>011244</t>
  </si>
  <si>
    <t>CULTIVO DE HABAS</t>
  </si>
  <si>
    <t>011230</t>
  </si>
  <si>
    <t>CULTIVO DE HORTALIZAS DE HOJA Y DE OTRAS HORTALIZAS FRESCAS (INCL. ACELGA, APIO, CEBOLLA DE VERDEO, CHOCLO, COLES, ESPINACA, LECHU</t>
  </si>
  <si>
    <t>011235</t>
  </si>
  <si>
    <t>CULTIVO DE LECHUGA</t>
  </si>
  <si>
    <t>011152</t>
  </si>
  <si>
    <t>CULTIVO DE NABOS</t>
  </si>
  <si>
    <t>011360</t>
  </si>
  <si>
    <t>CULTIVO DE UVAS</t>
  </si>
  <si>
    <t>011151</t>
  </si>
  <si>
    <t>CULTIVO DE ZANAHORIA</t>
  </si>
  <si>
    <t>012113</t>
  </si>
  <si>
    <t>ENGORDE EN CORRALES (FED-LOT)</t>
  </si>
  <si>
    <t>050110</t>
  </si>
  <si>
    <t>PESCA MARÍTIMA (INCL. PECES, CRUSTÁCEOS, MOLUSCOS, MARISCOS EXEPTO CAMARONES)</t>
  </si>
  <si>
    <t>015011</t>
  </si>
  <si>
    <t>REPOBLACIÓN DE ANIMALES</t>
  </si>
  <si>
    <t>050206</t>
  </si>
  <si>
    <t>ACTIVIDADES DE ACUICULTURA EN AGUA SALADA EN TANQUES O RESERVORIOS</t>
  </si>
  <si>
    <t>012241</t>
  </si>
  <si>
    <t>CRÍA DE ANIMALES PARA LA OBTENCIÓN DE PIELES Y CUEROS</t>
  </si>
  <si>
    <t>012150</t>
  </si>
  <si>
    <t>CRÍA DE GANADO CAPRINO, EXCEPTO EN CABAÑAS Y PARA PRODUCCIÓN DE LECHE</t>
  </si>
  <si>
    <t>012140</t>
  </si>
  <si>
    <t>CRÍA DE GANADO EQUINO, EXCEPTO EN HARAS (INCL. EQUINOS DE TRABAJO)</t>
  </si>
  <si>
    <t>011460</t>
  </si>
  <si>
    <t>CULTIVO DE ESPECIAS (DE HOJA, DE SEMILLA, DE FLOR Y DE FRUTO) Y DE PLANTAS AROMÁTICAS Y MEDICINALES</t>
  </si>
  <si>
    <t>011213</t>
  </si>
  <si>
    <t>CULTIVO DE ÑAME</t>
  </si>
  <si>
    <t>011416</t>
  </si>
  <si>
    <t>CULTIVO DE OTRAS FIBRAS</t>
  </si>
  <si>
    <t>011155</t>
  </si>
  <si>
    <t>CULTIVO DE PUERROS Y DEMAS HORTALIZAS ALIÁCEAS</t>
  </si>
  <si>
    <t>014210</t>
  </si>
  <si>
    <t>INSEMINACIÓN ARTIFICIAL Y SERVICIOS N.C.P. PARA MEJORAR LA REPRODUCCIÓN DE LOS ANIMALES Y EL RENDIMIENTO DE SUS PRODUCTOS</t>
  </si>
  <si>
    <t>050111</t>
  </si>
  <si>
    <t>PESCA DE CAMARONES</t>
  </si>
  <si>
    <t>012262</t>
  </si>
  <si>
    <t>CRÍA DE AVES COMO PERICOS, ETC.</t>
  </si>
  <si>
    <t>012111</t>
  </si>
  <si>
    <t>CRÍA DE GANADO BOVINO -EXCEPTO EN CABAÑAS Y PARA LA PRODUCCIÓN DE LECHE-</t>
  </si>
  <si>
    <t>012162</t>
  </si>
  <si>
    <t>CRÍA DE GANADO OVINO, PORCINO Y CAPRINO EN CABAÑAS (INCLUYE LA PRODUCCIÓN DE SEMEN)</t>
  </si>
  <si>
    <t>011137</t>
  </si>
  <si>
    <t>CULTIVO DE AJONJOLI</t>
  </si>
  <si>
    <t>011114</t>
  </si>
  <si>
    <t>CULTIVO DE CENTENO</t>
  </si>
  <si>
    <t>011191</t>
  </si>
  <si>
    <t>CULTIVO DE OTRAS HORTALIZAS</t>
  </si>
  <si>
    <t>011140</t>
  </si>
  <si>
    <t>CULTIVO DE PASTOS FORRAJEROS (INCLUYE ALFALFA, MOHA, PASTOSCONSOCIADOS, SORGO AZUCARADO Y FORRAJERO, ETC.)</t>
  </si>
  <si>
    <t>011252</t>
  </si>
  <si>
    <t>CULTIVO DE PLANTAS DE INTERIOR Y VIVEROS</t>
  </si>
  <si>
    <t>011429</t>
  </si>
  <si>
    <t>CULTIVO DE PLANTAS SACARÍFERAS N.C.P. (INCL. REMOLACHA AZUCARERA, ETC.)</t>
  </si>
  <si>
    <t>011490</t>
  </si>
  <si>
    <t>CULTIVOS INDUSTRIALES N.C.P. (INCL. OLIVO PARA CONSERVA, PALMITOS, ETC.)</t>
  </si>
  <si>
    <t>011237</t>
  </si>
  <si>
    <t>OTROS CULTIVOS DE HOJAS O TALLOS VEGETALES</t>
  </si>
  <si>
    <t>011350</t>
  </si>
  <si>
    <t>PRODUCCION DE BANANA</t>
  </si>
  <si>
    <t>012171</t>
  </si>
  <si>
    <t>PRODUCCIÓN DE LECHE DE GANADO BOVINO</t>
  </si>
  <si>
    <t>014220</t>
  </si>
  <si>
    <t>SERVICIOS DE CONTRATISTAS DE MANO DE OBRA PECUARIA (INCL. ARREO, CASTRACIÓN DE AVESESQUILA DE OVEJAS, RECOLECCIÓN DE ESTIÉRCOL, ETC.)</t>
  </si>
  <si>
    <t>014299</t>
  </si>
  <si>
    <t>SERVICIOS PECUARIOS N.C.P., EXCEPTO LOS VETERINARIOS</t>
  </si>
  <si>
    <t>012190</t>
  </si>
  <si>
    <t>CRÍA DE GANADO N.C.P. (INCL. CRÍA DE ALPACA, ASNO, BÚFALO, GUANACO, LLAMA, MULA, VICUÑA, ETC.)</t>
  </si>
  <si>
    <t>012130</t>
  </si>
  <si>
    <t>CRÍA DE GANADO PORCINO, EXCEPTO EN CABAÑAS</t>
  </si>
  <si>
    <t>011153</t>
  </si>
  <si>
    <t>CULTIVO DE AJO</t>
  </si>
  <si>
    <t>011223</t>
  </si>
  <si>
    <t>CULTIVO DE BERENGENAS</t>
  </si>
  <si>
    <t>011133</t>
  </si>
  <si>
    <t>CULTIVO DE CACAHUETES</t>
  </si>
  <si>
    <t>011470</t>
  </si>
  <si>
    <t>CULTIVO DE CAFÉ Y CACAO</t>
  </si>
  <si>
    <t>011129</t>
  </si>
  <si>
    <t>CULTIVO DE CEREALES FORRAJEROS N.C.P. (INCLUYE ALPISTE, AVENA, CEBADA FORRAJERA, CENTENO, MIJO, ETC.)</t>
  </si>
  <si>
    <t>011113</t>
  </si>
  <si>
    <t>CULTIVO DE CEVADA</t>
  </si>
  <si>
    <t>011132</t>
  </si>
  <si>
    <t>CULTIVO DE GIRASOL</t>
  </si>
  <si>
    <t>011354</t>
  </si>
  <si>
    <t>CULTIVO DE LECHOSAS</t>
  </si>
  <si>
    <t>011242</t>
  </si>
  <si>
    <t>CULTIVO DE LEGUMBRES SECAS (INCL. ARVEJA, GARBANZO, HABA, LENTEJA, POROTO, ETC.)</t>
  </si>
  <si>
    <t>011121</t>
  </si>
  <si>
    <t>CULTIVO DE MAÍZ</t>
  </si>
  <si>
    <t>011225</t>
  </si>
  <si>
    <t>CULTIVO DE MELONES Y OTROS FRUTALES</t>
  </si>
  <si>
    <t>011247</t>
  </si>
  <si>
    <t>CULTIVO DE OTRAS LEGUMINOSAS</t>
  </si>
  <si>
    <t>011255</t>
  </si>
  <si>
    <t>CULTIVO DE PLANTAS VIVAS PARA LOS BULBOS, TUBÉRCULOS Y RAÍCES, ESQUEJES E INJERTOS; SETAS DESOVAR</t>
  </si>
  <si>
    <t>011131</t>
  </si>
  <si>
    <t>CULTIVO DE SOJA</t>
  </si>
  <si>
    <t>011221</t>
  </si>
  <si>
    <t>CULTIVO DE TOMATE</t>
  </si>
  <si>
    <t>050112</t>
  </si>
  <si>
    <t>PESCA DE ALTURA, COSTERA Y EN ESTUARIO</t>
  </si>
  <si>
    <t>PRODUCCIÓN DE HUEVOS</t>
  </si>
  <si>
    <t>014130</t>
  </si>
  <si>
    <t>SERVICIOS DE CONTRATISTAS DE MANO DE OBRA AGRÍCOLA (INCL. LA PODA DE ÁRBOLES, TRANSPLANTE, FUMIGACIÓN Y DESINF. MANUAL, COSECHA MANUAL DE CITRUS, ALGODÓN, ETC.)</t>
  </si>
  <si>
    <t>014119</t>
  </si>
  <si>
    <t>SERVICIOS DE MAQUINARIA AGRÍCOLA N.C.P., EXCEPTO LOS DE COSECHA MECÁNICA (INCL. ENFARDADO, ENROLLADO, ENVASADO SILO PACK, CLASIFIC</t>
  </si>
  <si>
    <t>020310</t>
  </si>
  <si>
    <t>SERVICIOS FORESTALES DE EXTRACCIÓN DE MADERA (INCL. TALA DE ÁRBOLES, ACARREO Y TRANSP. EN EL INTERIOR DEL BOSQUE, SERV. REALIZADOS DE TERCEROS, ETC.)</t>
  </si>
  <si>
    <t>012230</t>
  </si>
  <si>
    <t>APICULTURA (INCL. LA PRODUCCIÓN DE MIEL, JALEA REAL, POLEN, PROPÓLEO, ETC.)</t>
  </si>
  <si>
    <t>011411</t>
  </si>
  <si>
    <t>CULTIVO DE ALGODÓN</t>
  </si>
  <si>
    <t>011211</t>
  </si>
  <si>
    <t>CULTIVO DE BATATA</t>
  </si>
  <si>
    <t>011154</t>
  </si>
  <si>
    <t>CULTIVO DE CEBOLLA</t>
  </si>
  <si>
    <t>011135</t>
  </si>
  <si>
    <t>CULTIVO DE COLZA</t>
  </si>
  <si>
    <t>011232</t>
  </si>
  <si>
    <t>CULTIVO DE ESPÁRRAGOS</t>
  </si>
  <si>
    <t>011236</t>
  </si>
  <si>
    <t>CULTIVO DE ESPINACA</t>
  </si>
  <si>
    <t>011245</t>
  </si>
  <si>
    <t>CULTIVO DE GUISANTES</t>
  </si>
  <si>
    <t>011241</t>
  </si>
  <si>
    <t>CULTIVO DE LEGUMBRES FRESCAS (INCL. ARVEJA, JUDÍA, HABA, GUANDULES, HABICHUELAS, ETC.)</t>
  </si>
  <si>
    <t>011332</t>
  </si>
  <si>
    <t>CULTIVO DE LIMONES Y LIMAS</t>
  </si>
  <si>
    <t>011139</t>
  </si>
  <si>
    <t>CULTIVO DE OLEAGINOSAS N.C.P. (INCLUYE CULT. DE OLEAGINOSAS PARA ACEITES COMESTIBLES Y/O USO INDUSTRIAL CÁRTAMO, COLZA, JOJOBA, LI</t>
  </si>
  <si>
    <t>011210</t>
  </si>
  <si>
    <t>CULTIVO DE PAPA</t>
  </si>
  <si>
    <t>011419</t>
  </si>
  <si>
    <t>CULTIVO DE PLANTAS PARA LA OBTENCIÓN DE FIBRAS N.C.P.(INCL. ABACÁ, CÁÑAMO, FORMIO, LINO TEXTIL, MAÍZ DE GUINEA, RAMIO, YUTE, ETC.)</t>
  </si>
  <si>
    <t>011224</t>
  </si>
  <si>
    <t>CULTIVO DE SANDÍAS</t>
  </si>
  <si>
    <t>011122</t>
  </si>
  <si>
    <t>CULTIVO DE SORGO DE GRANO</t>
  </si>
  <si>
    <t>011253</t>
  </si>
  <si>
    <t>CULTIVO DE VEGETALES PARA LA PLANTACIÓN</t>
  </si>
  <si>
    <t>011212</t>
  </si>
  <si>
    <t>CULTIVO DE YUCA</t>
  </si>
  <si>
    <t>011136</t>
  </si>
  <si>
    <t>CUTIVO DE SEMILLAS DE CARTAMO</t>
  </si>
  <si>
    <t>011356</t>
  </si>
  <si>
    <t>OTROS CULTIVOS DE FRUTAS TROPICALES Y SUBTROPICALES</t>
  </si>
  <si>
    <t>012179</t>
  </si>
  <si>
    <t>PRODUCCIÓN DE LECHE DE GANADO N.C.P. (INCL. LA CRÍA DE GANADO DE BÚFALA, CABRA, ETC. PARA LA PRODUCCION DE LECHE)</t>
  </si>
  <si>
    <t>011520</t>
  </si>
  <si>
    <t>PRODUCCIÓN DE OTRAS FORMAS DE PROPAGACIÓN DE CULTIVOS AGRÍCOLAS (INCL. GAJOS, BULBOS, ESTACAS ENRAIZADAS O NO, ESQUEJES, PLANTINES, ETC.)</t>
  </si>
  <si>
    <t>012182</t>
  </si>
  <si>
    <t>PRODUCCION DE PELOS (INCL. LA CRÍA DE CAPRINOS, CAMÉLIDOS, ETC. PARA LA OBTENCIÓN DE PELOS)</t>
  </si>
  <si>
    <t>011519</t>
  </si>
  <si>
    <t>PRODUCCIÓN DE SEMILLAS DE CULTIVOS AGRÍCOLAS N.C.P.</t>
  </si>
  <si>
    <t>001400</t>
  </si>
  <si>
    <t>SERVICIOS AGRÍCOLAS Y PECUARIOS, EXCEPTO LOS VETERINARIOS</t>
  </si>
  <si>
    <t>000100</t>
  </si>
  <si>
    <t>AGRICULTURA, GANADERÍA, CAZA Y ACTIVIDADES DE SERVICIOS CONEXAS</t>
  </si>
  <si>
    <t>012242</t>
  </si>
  <si>
    <t>CRÍA DE ANIMALES PARA LA OBTENCIÓN DE PELOS</t>
  </si>
  <si>
    <t>012163</t>
  </si>
  <si>
    <t>CRÍA DE GANADO EQUINO EN HARAS (INCL. PRODUCCIÓN DE SEMEN)</t>
  </si>
  <si>
    <t>011115</t>
  </si>
  <si>
    <t>CULTIVO DE AVENA</t>
  </si>
  <si>
    <t>011234</t>
  </si>
  <si>
    <t>CULTIVO DE BRÓCOLI Y COLIFLOR</t>
  </si>
  <si>
    <t>011229</t>
  </si>
  <si>
    <t>CULTIVO DE BULBOS, BROTES, RAÍCES Y HORTALIZAS DE FRUTOS N.C.P.(INCL. AJÍ, AJO, ALCAPARRA, BERENJENA, CEBOLLA, AUYAMA, ESPÁRRAGO,</t>
  </si>
  <si>
    <t>011421</t>
  </si>
  <si>
    <t>CULTIVO DE CAÑA DE AZÚCAR</t>
  </si>
  <si>
    <t>011243</t>
  </si>
  <si>
    <t>CULTIVO DE FRIJOLES</t>
  </si>
  <si>
    <t>011319</t>
  </si>
  <si>
    <t>CULTIVO DE FRUTAS DE PEPITA N.C.P. (INCL. MEMBRILLO, NÍSPERO, ETC.)</t>
  </si>
  <si>
    <t>011134</t>
  </si>
  <si>
    <t>CULTIVO DE GRANO DE MOZTAZA</t>
  </si>
  <si>
    <t>011333</t>
  </si>
  <si>
    <t>CULTIVO DE NARANJAS</t>
  </si>
  <si>
    <t>011340</t>
  </si>
  <si>
    <t>CULTIVO DE NUECES Y FRUTAS SECAS (INCL. ALMENDRA, AVELLANA, CASRTAÑA, NUEZ, PISTACHO, ETC.)</t>
  </si>
  <si>
    <t>011219</t>
  </si>
  <si>
    <t>CULTIVO DE OTRAS RAICES Y TUBERCULOS</t>
  </si>
  <si>
    <t>011112</t>
  </si>
  <si>
    <t>CULTIVO DE TRIGO</t>
  </si>
  <si>
    <t>001100</t>
  </si>
  <si>
    <t>CULTIVOS EN GENERAL, CULTIVOS DE PRODUCTOS DE MERCADO, HORTICULTURA</t>
  </si>
  <si>
    <t>050114</t>
  </si>
  <si>
    <t>OSTRICULTURA</t>
  </si>
  <si>
    <t>011156</t>
  </si>
  <si>
    <t>OTROS CULTIVOS DE RAICES, BULBOS</t>
  </si>
  <si>
    <t>012181</t>
  </si>
  <si>
    <t>PRODUCCIÓN DE LANA</t>
  </si>
  <si>
    <t>011512</t>
  </si>
  <si>
    <t xml:space="preserve">PRODUCCIÓN DE SEMILLAS VARIETALES O AUTOFECUNDADAS DE CEREALES, OLEAGINOSAS, Y FORRAJERAS </t>
  </si>
  <si>
    <t>014120</t>
  </si>
  <si>
    <t>SERVICIOS DE COSECHA MECÁNICA (INCL. LA COSECHA MECÁNICA DE GRANOS, CAÑA DE AZÚCAR, ALGODON, FORRAJES, EL ENFARDADO, ENRROLLADO, ETC.)</t>
  </si>
  <si>
    <t>012211</t>
  </si>
  <si>
    <t>CRÍA DE AVES PARA PRODUCCIÓN DE CARNE</t>
  </si>
  <si>
    <t>012161</t>
  </si>
  <si>
    <t>CRÍA DE GANADO BOVINO EN CABAÑAS (INCL. LA PRODUCCIÓN DE SEMEN)</t>
  </si>
  <si>
    <t>012252</t>
  </si>
  <si>
    <t>CRÍA DE OTRAS AVES (EXCEPTO AVES DE CORRAL)</t>
  </si>
  <si>
    <t>011462</t>
  </si>
  <si>
    <t>CULTIVO DE CHILES Y PIMIENTOS</t>
  </si>
  <si>
    <t>011390</t>
  </si>
  <si>
    <t>CULTIVO DE FRUTAS N.C.P. (INCL. PIÑA, HIGO, KIWI, MAMÓN, AGUACATE, UVA DE MESA, ETC.)</t>
  </si>
  <si>
    <t>011353</t>
  </si>
  <si>
    <t>CULTIVO DE MANGOS</t>
  </si>
  <si>
    <t>020111</t>
  </si>
  <si>
    <t>CULTIVO DE MONTE</t>
  </si>
  <si>
    <t>011254</t>
  </si>
  <si>
    <t>CULTIVO DE PLANTAS PARA FINES ORNAMENTALES, INCLUYENDO CÉSPED PARA TRANSPLANTAR</t>
  </si>
  <si>
    <t>020901</t>
  </si>
  <si>
    <t>OTRAS ACTIVIDADES RELACIONADAS CON SILVICULTURA N.C.P.</t>
  </si>
  <si>
    <t>050120</t>
  </si>
  <si>
    <t>PESCA CONTINENTAL, FLUVIAL Y LACUSTRE</t>
  </si>
  <si>
    <t>011511</t>
  </si>
  <si>
    <t>PRODUCCIÓN DE SEMILLAS HÍBRIDAS DE CEREALES Y OLEAGINOSAS</t>
  </si>
  <si>
    <t>020390</t>
  </si>
  <si>
    <t>SERV. FOREST. EXCEPTO LOS RELACIONADOS CON LA EXTRACCIÓN DE MADERA (INCL. PROTECCIÓN CONTRA INCENDIOS, EVALUACIÓN DE MASAS FORESTALES EN PIE, ETC.)</t>
  </si>
  <si>
    <t>015020</t>
  </si>
  <si>
    <t>SERVICIOS PARA LA CAZA</t>
  </si>
  <si>
    <t>012112</t>
  </si>
  <si>
    <t>INVERNADA  DE GANADO BOVINO EXCEPTO EL ENGORDE EN CORRALES (FED-LOT)</t>
  </si>
  <si>
    <t>012120</t>
  </si>
  <si>
    <t>CRÍA DE GANADO OVINO, EXCEPTO EN CABAÑAS Y PARA LA  PRODUCCIÓN DE LANA</t>
  </si>
  <si>
    <t>011119</t>
  </si>
  <si>
    <t>CULTIVO DE CEREALES EXCEPTO LOS FORRAJEROS Y  LAS SEMILLAS N.C.P. (INCLUYE ALFORFÓN, CEBADA CERVECERA, ETC.)</t>
  </si>
  <si>
    <t>050000</t>
  </si>
  <si>
    <t>PESCA Y SERVICIOS CONEXOS</t>
  </si>
  <si>
    <t>011440</t>
  </si>
  <si>
    <t>CULTIVO DE PLANTAS CUYAS HOJAS SE UTILIZAN PARA PREPARAR BEBIDAS (INFUSIONES)</t>
  </si>
  <si>
    <t>012220</t>
  </si>
  <si>
    <t>011100</t>
  </si>
  <si>
    <t>CULTIVOS DE CEREALES Y OTROS CULTIVOS N.C.P.</t>
  </si>
  <si>
    <t>011300</t>
  </si>
  <si>
    <t>CULTIVO DE FRUTAS, NUECES, PLANTAS CUYAS HOJAS SE UTILIZAN PARA PREPARAR BEBIDAS Y ESPECIES</t>
  </si>
  <si>
    <t>011311</t>
  </si>
  <si>
    <t>CULTIVO DE MANZANA Y PERA</t>
  </si>
  <si>
    <t>011430</t>
  </si>
  <si>
    <t>CULTIVO DE VID PARA VINIFICAR</t>
  </si>
  <si>
    <t>011200</t>
  </si>
  <si>
    <t>HORTALIZAS Y LEGUMBRES</t>
  </si>
  <si>
    <t>012200</t>
  </si>
  <si>
    <t>CRIA DE OTROS ANIMALES, ELABORACIÓN DE PRODUCTOS ANIMALES N.C.P.</t>
  </si>
  <si>
    <t>012243</t>
  </si>
  <si>
    <t>CRÍA DE ANIMALES PARA LA OBTENCIÓN DE PLUMAS</t>
  </si>
  <si>
    <t>012100</t>
  </si>
  <si>
    <t>CRIA DE GANADO VACUNO Y DE OVEJAS, CABRAS, CABALLOS, ASNOS, MULAS Y BURGEDANOS, CRIA DE GANADO LECHERO</t>
  </si>
  <si>
    <t>020000</t>
  </si>
  <si>
    <t>SILVICULTURA, EXTRACCIÓN DE MADERA Y SERVICIOS CONEXOS</t>
  </si>
  <si>
    <t>011334</t>
  </si>
  <si>
    <t>CULTIVO DE MANDARINAS</t>
  </si>
  <si>
    <t>011335</t>
  </si>
  <si>
    <t>OTROS CULTIVOS DE FRUTAS CITRICAS</t>
  </si>
  <si>
    <t>011343</t>
  </si>
  <si>
    <t>CULTIVO DE CASTAÑAS</t>
  </si>
  <si>
    <t>011346</t>
  </si>
  <si>
    <t>CULTIVO DE NUECES</t>
  </si>
  <si>
    <t>011347</t>
  </si>
  <si>
    <t>CULTIVO DE OTRAS FRUTAS SECAS COMESTIBLES</t>
  </si>
  <si>
    <t>011351</t>
  </si>
  <si>
    <t>CULTIVO DE AGUACATE</t>
  </si>
  <si>
    <t>011355</t>
  </si>
  <si>
    <t>CULTIVO DE PIÑAS</t>
  </si>
  <si>
    <t>011392</t>
  </si>
  <si>
    <t>CULTIVO DE CORINTO</t>
  </si>
  <si>
    <t>011396</t>
  </si>
  <si>
    <t>CULTIVO DE FRESAS</t>
  </si>
  <si>
    <t>011441</t>
  </si>
  <si>
    <t>CULTIVO DE TE</t>
  </si>
  <si>
    <t>011442</t>
  </si>
  <si>
    <t>CULTIVO DE MATE</t>
  </si>
  <si>
    <t>011514</t>
  </si>
  <si>
    <t>CULTIVO DE SEMILLAS DE HORTALIZAS, EXCEPTO LA SEMILLA DE REMOLACHA</t>
  </si>
  <si>
    <t>011516</t>
  </si>
  <si>
    <t>CULTIVO DE SEMILLAS DE FRUTAS</t>
  </si>
  <si>
    <t>050202</t>
  </si>
  <si>
    <t>CRIA DE PECES ORNAMENTALES</t>
  </si>
  <si>
    <t>050203</t>
  </si>
  <si>
    <t>CULTIVO DE LAVER Y OTRAS ALGAS COMESTIBLES</t>
  </si>
  <si>
    <t>050208</t>
  </si>
  <si>
    <t>CRIADEROS DE PECES (MARINOS)</t>
  </si>
  <si>
    <t>050211</t>
  </si>
  <si>
    <t>CRÍA DE PECES ORNAMENTALES DE AGUA DULCE</t>
  </si>
  <si>
    <t>050213</t>
  </si>
  <si>
    <t>CRIA DE OTROS ANIMALES ACUATICOS</t>
  </si>
  <si>
    <t>050214</t>
  </si>
  <si>
    <t>CRIADEROS DE PECES (AGUA DULCE)</t>
  </si>
  <si>
    <t>050215</t>
  </si>
  <si>
    <t>CRIA DE RANAS</t>
  </si>
  <si>
    <t>014115</t>
  </si>
  <si>
    <t>TRANSPLANTE DE ARROZ</t>
  </si>
  <si>
    <t>020221</t>
  </si>
  <si>
    <t>RECOPILACIÓN Y PRODUCCIÓN DE LEÑA</t>
  </si>
  <si>
    <t>020232</t>
  </si>
  <si>
    <t>RECOLECCIÓN DE FRUTOS SECOS</t>
  </si>
  <si>
    <t>020112</t>
  </si>
  <si>
    <t>CULTIVO PARA LA EXTRACCIÓN DE PULPA Y LEÑA</t>
  </si>
  <si>
    <t>020236</t>
  </si>
  <si>
    <t>RECOLECCIÓN DE MUSGOS Y LIQUENES</t>
  </si>
  <si>
    <t>050121</t>
  </si>
  <si>
    <t>RECOLECCIÓN DE CRUSTACEOS Y MOLUSCOS DE AGUA DULCE</t>
  </si>
  <si>
    <t>050207</t>
  </si>
  <si>
    <t>ACTIVIDADES DE ACUICULTURA EN AGUAS SALOBRE</t>
  </si>
  <si>
    <t>020235</t>
  </si>
  <si>
    <t>RECOLECCIÓN DE BELLOTAS</t>
  </si>
  <si>
    <t>050122</t>
  </si>
  <si>
    <t>CAPTURA DE ANIMALES DE AGUA DULCE</t>
  </si>
  <si>
    <t>014114</t>
  </si>
  <si>
    <t>TRATAMIENTO DE CULTIVOS</t>
  </si>
  <si>
    <t>014211</t>
  </si>
  <si>
    <t>ACTIVIDADES PARA PROMOVER LA PROPAGACIÓN, EL CRECIMIENTO Y LA PRODUCCIÓN DE ANIMALES</t>
  </si>
  <si>
    <t>020122</t>
  </si>
  <si>
    <t>ACLAREO DE BOSQUES</t>
  </si>
  <si>
    <t>020121</t>
  </si>
  <si>
    <t>REPLANTACION DE ARBOLES</t>
  </si>
  <si>
    <t>020231</t>
  </si>
  <si>
    <t>RECOLECCIÓN DE BAYAS</t>
  </si>
  <si>
    <t>050210</t>
  </si>
  <si>
    <t xml:space="preserve">ACUICULTURA EN AGUA DULCE </t>
  </si>
  <si>
    <t>TET HASTA 7.8M</t>
  </si>
  <si>
    <t>TET DE 7.8M HASTA 15.6M</t>
  </si>
  <si>
    <t>Nombre / Razón Social</t>
  </si>
  <si>
    <t>INGRESOS POR VENTAS NO AGROPECUARIA</t>
  </si>
  <si>
    <t>INGRESOS POR ACTIVIDAD NO AGROPECUARIA</t>
  </si>
  <si>
    <t>VII.</t>
  </si>
  <si>
    <t>VIII. DECLARACIÓN</t>
  </si>
  <si>
    <t>IX. PARA USO DE LA DGII</t>
  </si>
  <si>
    <t>+</t>
  </si>
  <si>
    <t>=</t>
  </si>
  <si>
    <t>-</t>
  </si>
  <si>
    <t>%TET (tasa sobre casilla 1)</t>
  </si>
  <si>
    <r>
      <t xml:space="preserve">TOTAL DE INGRESOS NO SUJETOS A ESTE RÉGIMEN TRIBUTARIO </t>
    </r>
    <r>
      <rPr>
        <sz val="10"/>
        <rFont val="Lucida Sans"/>
        <family val="2"/>
      </rPr>
      <t>(casillas 2+3+4)</t>
    </r>
  </si>
  <si>
    <r>
      <t>TOTAL GENERAL DE LOS INGRESOS</t>
    </r>
    <r>
      <rPr>
        <sz val="11"/>
        <rFont val="Times New Roman"/>
        <family val="1"/>
      </rPr>
      <t xml:space="preserve"> (casillas 1+5+11+12)</t>
    </r>
  </si>
  <si>
    <t>MORA POR ANTICIPOS NO PAGADOS</t>
  </si>
  <si>
    <t>MORA EN DECLARACIÓN TARDÍA</t>
  </si>
  <si>
    <t>IMPUESTO A PAGAR SOBRE ACTIVIDAD NO AGROPECUARIA (aplicar tasa sobre la casilla 11)</t>
  </si>
  <si>
    <t>IMPUESTO A PAGAR SOBRE GANANCIA DE CAPITAL (aplicar 25% sobre la casilla 12 para Persona Física/ 27%  para Persona Jurídica)</t>
  </si>
  <si>
    <t xml:space="preserve">ANTICIPOS PAGADOS </t>
  </si>
  <si>
    <r>
      <t xml:space="preserve">TOTAL DE INGRESOS POR ACTIVIDAD NO AGROPECUARIA </t>
    </r>
    <r>
      <rPr>
        <sz val="10"/>
        <rFont val="Lucida Sans"/>
        <family val="2"/>
      </rPr>
      <t>(casillas 6+7+8+9+10)</t>
    </r>
  </si>
  <si>
    <t>0.61</t>
  </si>
  <si>
    <t>0.57</t>
  </si>
  <si>
    <t>0.78</t>
  </si>
  <si>
    <t>0.88</t>
  </si>
  <si>
    <t>0.58</t>
  </si>
  <si>
    <t>0.63</t>
  </si>
  <si>
    <t>0.51</t>
  </si>
  <si>
    <t>0.86</t>
  </si>
  <si>
    <t>0.69</t>
  </si>
  <si>
    <t>0.72</t>
  </si>
  <si>
    <t>0.66</t>
  </si>
  <si>
    <t>0.75</t>
  </si>
  <si>
    <t>0.56</t>
  </si>
  <si>
    <t>0.71</t>
  </si>
  <si>
    <t>0.68</t>
  </si>
  <si>
    <t>0.64</t>
  </si>
  <si>
    <t>0.76</t>
  </si>
  <si>
    <t>0.62</t>
  </si>
  <si>
    <t>0.73</t>
  </si>
  <si>
    <t>0.70</t>
  </si>
  <si>
    <t>0.74</t>
  </si>
  <si>
    <t>0.65</t>
  </si>
  <si>
    <t>0.60</t>
  </si>
  <si>
    <t>0.59</t>
  </si>
  <si>
    <t>0.67</t>
  </si>
  <si>
    <t>0.77</t>
  </si>
  <si>
    <t>0.79</t>
  </si>
  <si>
    <t>0.54</t>
  </si>
  <si>
    <t>0.55</t>
  </si>
  <si>
    <t>0.80</t>
  </si>
  <si>
    <r>
      <t xml:space="preserve">IMPUESTO LIQUIDADO </t>
    </r>
    <r>
      <rPr>
        <sz val="10"/>
        <rFont val="Lucida Sans"/>
        <family val="2"/>
      </rPr>
      <t>(casillas 14+15+16+17)</t>
    </r>
  </si>
  <si>
    <r>
      <t xml:space="preserve">DIFERENCIA A PAGAR </t>
    </r>
    <r>
      <rPr>
        <sz val="10"/>
        <rFont val="Lucida Sans"/>
        <family val="2"/>
      </rPr>
      <t>(casillas 18-19-20-21-22)</t>
    </r>
  </si>
  <si>
    <t>% SOBRE LA CASILLA 23</t>
  </si>
  <si>
    <r>
      <t xml:space="preserve">TOTAL A PAGAR </t>
    </r>
    <r>
      <rPr>
        <sz val="10"/>
        <rFont val="Lucida Sans"/>
        <family val="2"/>
      </rPr>
      <t>(casillas 23+24+25+26+27)</t>
    </r>
  </si>
  <si>
    <t>Versión 2021</t>
  </si>
  <si>
    <t>AJUSTE POSITIVO ISR NO RETENIDO POR EMPLEADORES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</si>
</sst>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/mm/yy;@"/>
    <numFmt numFmtId="165" formatCode="_(&quot;RD$&quot;* #,##0.00_);_(&quot;RD$&quot;* \(#,##0.00\);_(&quot;RD$&quot;* &quot;-&quot;??_);_(@_)"/>
    <numFmt numFmtId="166" formatCode="dd/mm/yyyy;@"/>
  </numFmts>
  <fonts count="3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MS Sans Serif"/>
      <family val="2"/>
    </font>
    <font>
      <sz val="10"/>
      <name val="Arial"/>
      <family val="2"/>
    </font>
    <font>
      <sz val="10"/>
      <name val="MS Sans Serif"/>
    </font>
    <font>
      <b/>
      <sz val="11"/>
      <color rgb="FF000000"/>
      <name val="Times New Roman"/>
      <family val="1"/>
    </font>
    <font>
      <b/>
      <sz val="11"/>
      <name val="Times New Roman"/>
      <family val="1"/>
    </font>
    <font>
      <sz val="10"/>
      <name val="Times New Roman"/>
      <family val="1"/>
    </font>
    <font>
      <sz val="1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9"/>
      <color rgb="FFFF0000"/>
      <name val="Times New Roman"/>
      <family val="1"/>
    </font>
    <font>
      <sz val="12"/>
      <name val="Arial"/>
      <family val="2"/>
    </font>
    <font>
      <sz val="11"/>
      <color theme="1"/>
      <name val="Arial"/>
      <family val="2"/>
    </font>
    <font>
      <sz val="16"/>
      <color theme="1"/>
      <name val="Times New Roman"/>
      <family val="1"/>
    </font>
    <font>
      <b/>
      <sz val="11"/>
      <color theme="1"/>
      <name val="Arial"/>
      <family val="2"/>
    </font>
    <font>
      <sz val="14"/>
      <color theme="1"/>
      <name val="Times New Roman"/>
      <family val="1"/>
    </font>
    <font>
      <b/>
      <sz val="25"/>
      <color theme="1"/>
      <name val="Times New Roman"/>
      <family val="1"/>
    </font>
    <font>
      <sz val="10"/>
      <color theme="1"/>
      <name val="Times New Roman"/>
      <family val="1"/>
    </font>
    <font>
      <sz val="10"/>
      <color theme="1"/>
      <name val="Arial"/>
      <family val="2"/>
    </font>
    <font>
      <b/>
      <sz val="14"/>
      <name val="Times New Roman"/>
      <family val="1"/>
    </font>
    <font>
      <b/>
      <sz val="15"/>
      <name val="Times New Roman"/>
      <family val="1"/>
    </font>
    <font>
      <b/>
      <sz val="14"/>
      <name val="Lucida Bright"/>
      <family val="1"/>
    </font>
    <font>
      <b/>
      <sz val="11"/>
      <name val="Lucida Bright"/>
      <family val="1"/>
    </font>
    <font>
      <b/>
      <sz val="13"/>
      <name val="Lucida Bright"/>
      <family val="1"/>
    </font>
    <font>
      <sz val="11"/>
      <color theme="1"/>
      <name val="Lucida Bright"/>
      <family val="1"/>
    </font>
    <font>
      <b/>
      <sz val="11"/>
      <color indexed="8"/>
      <name val="Lucida Bright"/>
      <family val="1"/>
    </font>
    <font>
      <b/>
      <sz val="10"/>
      <name val="Lucida Sans"/>
      <family val="2"/>
    </font>
    <font>
      <b/>
      <sz val="10"/>
      <color theme="1"/>
      <name val="Lucida Sans "/>
    </font>
    <font>
      <sz val="10"/>
      <color theme="1"/>
      <name val="Lucida Sans"/>
      <family val="2"/>
    </font>
    <font>
      <sz val="10"/>
      <name val="Lucida Sans"/>
      <family val="2"/>
    </font>
    <font>
      <b/>
      <sz val="10"/>
      <color theme="1"/>
      <name val="Lucida Sans"/>
      <family val="2"/>
    </font>
    <font>
      <b/>
      <sz val="8"/>
      <name val="Lucida Sans"/>
      <family val="2"/>
    </font>
    <font>
      <sz val="10"/>
      <color indexed="8"/>
      <name val="Lucida Sans"/>
      <family val="2"/>
    </font>
    <font>
      <sz val="10"/>
      <color theme="1" tint="0.499984740745262"/>
      <name val="Lucida Sans"/>
      <family val="2"/>
    </font>
    <font>
      <b/>
      <sz val="12"/>
      <name val="Lucida Bright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82BC00"/>
        <bgColor indexed="64"/>
      </patternFill>
    </fill>
    <fill>
      <patternFill patternType="solid">
        <fgColor rgb="FF7AB800"/>
        <bgColor indexed="64"/>
      </patternFill>
    </fill>
    <fill>
      <patternFill patternType="solid">
        <fgColor theme="0" tint="-0.34998626667073579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3">
    <xf numFmtId="0" fontId="0" fillId="0" borderId="0"/>
    <xf numFmtId="43" fontId="1" fillId="0" borderId="0" applyFont="0" applyFill="0" applyBorder="0" applyAlignment="0" applyProtection="0"/>
    <xf numFmtId="4" fontId="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0" fontId="4" fillId="0" borderId="0"/>
    <xf numFmtId="40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/>
    <xf numFmtId="0" fontId="3" fillId="0" borderId="0"/>
  </cellStyleXfs>
  <cellXfs count="197">
    <xf numFmtId="0" fontId="0" fillId="0" borderId="0" xfId="0"/>
    <xf numFmtId="0" fontId="8" fillId="0" borderId="1" xfId="0" applyFont="1" applyBorder="1"/>
    <xf numFmtId="0" fontId="9" fillId="0" borderId="1" xfId="0" applyFont="1" applyBorder="1"/>
    <xf numFmtId="0" fontId="29" fillId="0" borderId="1" xfId="0" applyFont="1" applyBorder="1" applyAlignment="1">
      <alignment vertical="center"/>
    </xf>
    <xf numFmtId="0" fontId="29" fillId="3" borderId="1" xfId="0" applyFont="1" applyFill="1" applyBorder="1"/>
    <xf numFmtId="49" fontId="27" fillId="2" borderId="34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applyAlignment="1">
      <alignment horizontal="center"/>
    </xf>
    <xf numFmtId="49" fontId="0" fillId="0" borderId="0" xfId="0" applyNumberFormat="1"/>
    <xf numFmtId="9" fontId="30" fillId="0" borderId="1" xfId="10" applyFont="1" applyFill="1" applyBorder="1" applyAlignment="1" applyProtection="1">
      <alignment horizontal="center" vertical="center"/>
      <protection locked="0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vertical="center"/>
    </xf>
    <xf numFmtId="0" fontId="0" fillId="2" borderId="0" xfId="0" applyFill="1" applyAlignment="1">
      <alignment horizontal="center" vertical="center"/>
    </xf>
    <xf numFmtId="0" fontId="12" fillId="2" borderId="0" xfId="0" applyFont="1" applyFill="1" applyAlignment="1">
      <alignment vertical="center"/>
    </xf>
    <xf numFmtId="0" fontId="5" fillId="2" borderId="0" xfId="0" applyFont="1" applyFill="1" applyAlignment="1">
      <alignment horizontal="left" vertical="center" readingOrder="1"/>
    </xf>
    <xf numFmtId="0" fontId="11" fillId="2" borderId="0" xfId="0" applyFont="1" applyFill="1" applyAlignment="1">
      <alignment vertical="center"/>
    </xf>
    <xf numFmtId="0" fontId="20" fillId="2" borderId="0" xfId="0" applyFont="1" applyFill="1" applyAlignment="1">
      <alignment horizontal="center" vertical="center" wrapText="1"/>
    </xf>
    <xf numFmtId="0" fontId="22" fillId="2" borderId="0" xfId="0" applyFont="1" applyFill="1" applyAlignment="1">
      <alignment vertical="center"/>
    </xf>
    <xf numFmtId="0" fontId="22" fillId="2" borderId="0" xfId="0" applyFont="1" applyFill="1" applyAlignment="1">
      <alignment horizontal="center" vertical="top" wrapText="1"/>
    </xf>
    <xf numFmtId="0" fontId="8" fillId="2" borderId="0" xfId="0" applyFont="1" applyFill="1" applyAlignment="1">
      <alignment horizontal="center" vertical="center"/>
    </xf>
    <xf numFmtId="0" fontId="25" fillId="2" borderId="0" xfId="0" applyFont="1" applyFill="1" applyAlignment="1">
      <alignment vertical="center"/>
    </xf>
    <xf numFmtId="0" fontId="26" fillId="3" borderId="13" xfId="0" applyFont="1" applyFill="1" applyBorder="1" applyAlignment="1">
      <alignment horizontal="center" vertical="center"/>
    </xf>
    <xf numFmtId="0" fontId="25" fillId="0" borderId="0" xfId="0" applyFont="1" applyAlignment="1">
      <alignment vertical="center"/>
    </xf>
    <xf numFmtId="0" fontId="29" fillId="2" borderId="0" xfId="0" applyFont="1" applyFill="1" applyAlignment="1">
      <alignment vertical="center"/>
    </xf>
    <xf numFmtId="0" fontId="27" fillId="2" borderId="12" xfId="0" applyFont="1" applyFill="1" applyBorder="1" applyAlignment="1">
      <alignment vertical="center"/>
    </xf>
    <xf numFmtId="0" fontId="27" fillId="2" borderId="32" xfId="0" applyFont="1" applyFill="1" applyBorder="1" applyAlignment="1">
      <alignment vertical="center"/>
    </xf>
    <xf numFmtId="0" fontId="29" fillId="0" borderId="0" xfId="0" applyFont="1" applyAlignment="1">
      <alignment vertical="center"/>
    </xf>
    <xf numFmtId="0" fontId="27" fillId="2" borderId="0" xfId="0" applyFont="1" applyFill="1" applyAlignment="1">
      <alignment vertical="center"/>
    </xf>
    <xf numFmtId="0" fontId="27" fillId="2" borderId="9" xfId="0" applyFont="1" applyFill="1" applyBorder="1" applyAlignment="1">
      <alignment vertical="center"/>
    </xf>
    <xf numFmtId="0" fontId="27" fillId="2" borderId="8" xfId="0" applyFont="1" applyFill="1" applyBorder="1" applyAlignment="1">
      <alignment vertical="center"/>
    </xf>
    <xf numFmtId="0" fontId="32" fillId="2" borderId="8" xfId="0" applyFont="1" applyFill="1" applyBorder="1" applyAlignment="1">
      <alignment horizontal="center" vertical="top"/>
    </xf>
    <xf numFmtId="0" fontId="27" fillId="2" borderId="10" xfId="0" applyFont="1" applyFill="1" applyBorder="1" applyAlignment="1">
      <alignment vertical="center"/>
    </xf>
    <xf numFmtId="0" fontId="26" fillId="3" borderId="29" xfId="0" applyFont="1" applyFill="1" applyBorder="1" applyAlignment="1">
      <alignment horizontal="center" vertical="center"/>
    </xf>
    <xf numFmtId="0" fontId="29" fillId="0" borderId="22" xfId="0" applyFont="1" applyBorder="1" applyAlignment="1">
      <alignment horizontal="center" vertical="center"/>
    </xf>
    <xf numFmtId="49" fontId="29" fillId="0" borderId="42" xfId="0" applyNumberFormat="1" applyFont="1" applyBorder="1" applyAlignment="1">
      <alignment horizontal="center" vertical="center"/>
    </xf>
    <xf numFmtId="0" fontId="29" fillId="0" borderId="18" xfId="0" applyFont="1" applyBorder="1" applyAlignment="1">
      <alignment horizontal="center" vertical="center"/>
    </xf>
    <xf numFmtId="49" fontId="29" fillId="0" borderId="1" xfId="0" applyNumberFormat="1" applyFont="1" applyBorder="1" applyAlignment="1">
      <alignment horizontal="center" vertical="center"/>
    </xf>
    <xf numFmtId="49" fontId="30" fillId="0" borderId="1" xfId="7" applyNumberFormat="1" applyFont="1" applyBorder="1" applyAlignment="1">
      <alignment horizontal="center" vertical="center"/>
    </xf>
    <xf numFmtId="0" fontId="31" fillId="5" borderId="22" xfId="0" applyFont="1" applyFill="1" applyBorder="1" applyAlignment="1">
      <alignment horizontal="center" vertical="center"/>
    </xf>
    <xf numFmtId="49" fontId="27" fillId="5" borderId="42" xfId="0" applyNumberFormat="1" applyFont="1" applyFill="1" applyBorder="1" applyAlignment="1">
      <alignment horizontal="center" vertical="center"/>
    </xf>
    <xf numFmtId="43" fontId="0" fillId="0" borderId="0" xfId="0" applyNumberFormat="1" applyAlignment="1">
      <alignment vertical="center"/>
    </xf>
    <xf numFmtId="0" fontId="30" fillId="0" borderId="18" xfId="0" applyFont="1" applyBorder="1" applyAlignment="1">
      <alignment horizontal="center" vertical="center"/>
    </xf>
    <xf numFmtId="49" fontId="30" fillId="0" borderId="42" xfId="7" applyNumberFormat="1" applyFont="1" applyBorder="1" applyAlignment="1">
      <alignment horizontal="center" vertical="center"/>
    </xf>
    <xf numFmtId="0" fontId="9" fillId="5" borderId="22" xfId="0" applyFont="1" applyFill="1" applyBorder="1" applyAlignment="1">
      <alignment horizontal="center" vertical="center"/>
    </xf>
    <xf numFmtId="49" fontId="6" fillId="5" borderId="42" xfId="0" applyNumberFormat="1" applyFont="1" applyFill="1" applyBorder="1" applyAlignment="1">
      <alignment horizontal="center" vertical="center"/>
    </xf>
    <xf numFmtId="10" fontId="29" fillId="0" borderId="1" xfId="0" applyNumberFormat="1" applyFont="1" applyBorder="1" applyAlignment="1">
      <alignment horizontal="center" vertical="center"/>
    </xf>
    <xf numFmtId="10" fontId="0" fillId="0" borderId="0" xfId="10" applyNumberFormat="1" applyFont="1" applyAlignment="1" applyProtection="1">
      <alignment vertical="center"/>
    </xf>
    <xf numFmtId="0" fontId="31" fillId="0" borderId="18" xfId="0" applyFont="1" applyBorder="1" applyAlignment="1">
      <alignment horizontal="center" vertical="center"/>
    </xf>
    <xf numFmtId="49" fontId="27" fillId="0" borderId="1" xfId="7" applyNumberFormat="1" applyFont="1" applyBorder="1" applyAlignment="1">
      <alignment horizontal="center" vertical="center"/>
    </xf>
    <xf numFmtId="49" fontId="0" fillId="0" borderId="0" xfId="0" applyNumberFormat="1" applyAlignment="1">
      <alignment vertical="center"/>
    </xf>
    <xf numFmtId="0" fontId="23" fillId="4" borderId="11" xfId="0" applyFont="1" applyFill="1" applyBorder="1" applyAlignment="1">
      <alignment vertical="center"/>
    </xf>
    <xf numFmtId="0" fontId="23" fillId="4" borderId="14" xfId="0" applyFont="1" applyFill="1" applyBorder="1" applyAlignment="1">
      <alignment vertical="center"/>
    </xf>
    <xf numFmtId="0" fontId="23" fillId="2" borderId="0" xfId="0" applyFont="1" applyFill="1" applyAlignment="1">
      <alignment vertical="center"/>
    </xf>
    <xf numFmtId="0" fontId="23" fillId="2" borderId="0" xfId="0" applyFont="1" applyFill="1" applyAlignment="1">
      <alignment horizontal="left" vertical="center"/>
    </xf>
    <xf numFmtId="0" fontId="23" fillId="0" borderId="40" xfId="0" applyFont="1" applyBorder="1" applyAlignment="1">
      <alignment horizontal="left" vertical="center"/>
    </xf>
    <xf numFmtId="0" fontId="23" fillId="0" borderId="12" xfId="0" applyFont="1" applyBorder="1" applyAlignment="1">
      <alignment horizontal="left" vertical="center"/>
    </xf>
    <xf numFmtId="0" fontId="23" fillId="0" borderId="39" xfId="0" applyFont="1" applyBorder="1" applyAlignment="1">
      <alignment horizontal="left" vertical="center"/>
    </xf>
    <xf numFmtId="0" fontId="0" fillId="0" borderId="19" xfId="0" applyBorder="1" applyAlignment="1">
      <alignment horizontal="center" vertical="center"/>
    </xf>
    <xf numFmtId="0" fontId="29" fillId="0" borderId="0" xfId="0" applyFont="1" applyAlignment="1">
      <alignment horizontal="right"/>
    </xf>
    <xf numFmtId="0" fontId="15" fillId="0" borderId="30" xfId="0" applyFont="1" applyBorder="1" applyAlignment="1">
      <alignment horizontal="center" vertical="center" wrapText="1"/>
    </xf>
    <xf numFmtId="0" fontId="7" fillId="2" borderId="19" xfId="3" applyFont="1" applyFill="1" applyBorder="1" applyAlignment="1">
      <alignment horizontal="center" vertical="center"/>
    </xf>
    <xf numFmtId="0" fontId="0" fillId="0" borderId="30" xfId="0" applyBorder="1" applyAlignment="1">
      <alignment vertical="center"/>
    </xf>
    <xf numFmtId="0" fontId="15" fillId="0" borderId="0" xfId="0" applyFont="1" applyAlignment="1">
      <alignment horizontal="center" vertical="center"/>
    </xf>
    <xf numFmtId="165" fontId="13" fillId="0" borderId="19" xfId="0" applyNumberFormat="1" applyFont="1" applyBorder="1" applyAlignment="1">
      <alignment horizontal="center" vertical="center" wrapText="1"/>
    </xf>
    <xf numFmtId="165" fontId="19" fillId="0" borderId="30" xfId="0" applyNumberFormat="1" applyFont="1" applyBorder="1" applyAlignment="1">
      <alignment horizontal="center" vertical="center" wrapText="1"/>
    </xf>
    <xf numFmtId="0" fontId="14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166" fontId="0" fillId="0" borderId="30" xfId="0" applyNumberFormat="1" applyBorder="1" applyAlignment="1">
      <alignment vertical="center"/>
    </xf>
    <xf numFmtId="165" fontId="29" fillId="0" borderId="0" xfId="0" applyNumberFormat="1" applyFont="1" applyAlignment="1">
      <alignment vertical="center" wrapText="1"/>
    </xf>
    <xf numFmtId="165" fontId="10" fillId="0" borderId="0" xfId="0" applyNumberFormat="1" applyFont="1" applyAlignment="1">
      <alignment vertical="center" wrapText="1"/>
    </xf>
    <xf numFmtId="0" fontId="0" fillId="0" borderId="9" xfId="0" applyBorder="1" applyAlignment="1">
      <alignment vertical="center"/>
    </xf>
    <xf numFmtId="0" fontId="13" fillId="0" borderId="0" xfId="0" applyFont="1" applyAlignment="1">
      <alignment horizontal="center" vertical="center"/>
    </xf>
    <xf numFmtId="14" fontId="31" fillId="0" borderId="0" xfId="0" applyNumberFormat="1" applyFont="1" applyAlignment="1">
      <alignment horizontal="center" vertical="center" wrapText="1"/>
    </xf>
    <xf numFmtId="14" fontId="31" fillId="0" borderId="0" xfId="0" applyNumberFormat="1" applyFont="1" applyAlignment="1">
      <alignment vertical="center" wrapText="1"/>
    </xf>
    <xf numFmtId="0" fontId="16" fillId="0" borderId="0" xfId="0" applyFont="1" applyAlignment="1">
      <alignment horizontal="center" vertical="center"/>
    </xf>
    <xf numFmtId="0" fontId="15" fillId="0" borderId="31" xfId="0" applyFont="1" applyBorder="1" applyAlignment="1">
      <alignment horizontal="center" vertical="center"/>
    </xf>
    <xf numFmtId="0" fontId="29" fillId="0" borderId="8" xfId="0" applyFont="1" applyBorder="1" applyAlignment="1">
      <alignment horizontal="center" vertical="center"/>
    </xf>
    <xf numFmtId="0" fontId="29" fillId="0" borderId="8" xfId="0" applyFont="1" applyBorder="1" applyAlignment="1">
      <alignment vertical="center"/>
    </xf>
    <xf numFmtId="0" fontId="13" fillId="0" borderId="26" xfId="0" applyFont="1" applyBorder="1" applyAlignment="1">
      <alignment horizontal="center" vertical="center"/>
    </xf>
    <xf numFmtId="0" fontId="0" fillId="0" borderId="8" xfId="0" applyBorder="1" applyAlignment="1">
      <alignment vertical="center"/>
    </xf>
    <xf numFmtId="0" fontId="0" fillId="0" borderId="10" xfId="0" applyBorder="1" applyAlignment="1">
      <alignment vertical="center"/>
    </xf>
    <xf numFmtId="0" fontId="17" fillId="0" borderId="0" xfId="0" applyFont="1" applyAlignment="1">
      <alignment horizontal="center" vertical="center"/>
    </xf>
    <xf numFmtId="165" fontId="13" fillId="2" borderId="0" xfId="0" applyNumberFormat="1" applyFont="1" applyFill="1" applyAlignment="1">
      <alignment horizontal="center" vertical="center" wrapText="1"/>
    </xf>
    <xf numFmtId="14" fontId="9" fillId="2" borderId="0" xfId="0" applyNumberFormat="1" applyFont="1" applyFill="1" applyAlignment="1">
      <alignment horizontal="center" vertical="center" wrapText="1"/>
    </xf>
    <xf numFmtId="0" fontId="14" fillId="2" borderId="0" xfId="0" applyFont="1" applyFill="1" applyAlignment="1">
      <alignment vertical="center"/>
    </xf>
    <xf numFmtId="0" fontId="16" fillId="2" borderId="0" xfId="0" applyFont="1" applyFill="1" applyAlignment="1">
      <alignment vertical="center"/>
    </xf>
    <xf numFmtId="0" fontId="15" fillId="2" borderId="0" xfId="0" applyFont="1" applyFill="1" applyAlignment="1">
      <alignment horizontal="center" vertical="center"/>
    </xf>
    <xf numFmtId="0" fontId="18" fillId="2" borderId="0" xfId="0" applyFont="1" applyFill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0" fontId="17" fillId="2" borderId="0" xfId="0" applyFont="1" applyFill="1" applyAlignment="1">
      <alignment vertical="center"/>
    </xf>
    <xf numFmtId="0" fontId="0" fillId="0" borderId="0" xfId="0" applyAlignment="1">
      <alignment horizontal="center" vertical="center"/>
    </xf>
    <xf numFmtId="0" fontId="30" fillId="0" borderId="4" xfId="7" applyFont="1" applyBorder="1" applyAlignment="1">
      <alignment horizontal="left" vertical="center"/>
    </xf>
    <xf numFmtId="0" fontId="30" fillId="0" borderId="3" xfId="7" applyFont="1" applyBorder="1" applyAlignment="1">
      <alignment horizontal="left" vertical="center"/>
    </xf>
    <xf numFmtId="0" fontId="30" fillId="0" borderId="5" xfId="7" applyFont="1" applyBorder="1" applyAlignment="1">
      <alignment horizontal="left" vertical="center"/>
    </xf>
    <xf numFmtId="0" fontId="27" fillId="0" borderId="4" xfId="7" applyFont="1" applyBorder="1" applyAlignment="1">
      <alignment horizontal="left" vertical="center"/>
    </xf>
    <xf numFmtId="0" fontId="27" fillId="0" borderId="3" xfId="7" applyFont="1" applyBorder="1" applyAlignment="1">
      <alignment horizontal="left" vertical="center"/>
    </xf>
    <xf numFmtId="0" fontId="27" fillId="0" borderId="5" xfId="7" applyFont="1" applyBorder="1" applyAlignment="1">
      <alignment horizontal="left" vertical="center"/>
    </xf>
    <xf numFmtId="0" fontId="26" fillId="3" borderId="20" xfId="0" applyFont="1" applyFill="1" applyBorder="1" applyAlignment="1">
      <alignment horizontal="left" vertical="center"/>
    </xf>
    <xf numFmtId="0" fontId="26" fillId="3" borderId="11" xfId="0" applyFont="1" applyFill="1" applyBorder="1" applyAlignment="1">
      <alignment horizontal="left" vertical="center"/>
    </xf>
    <xf numFmtId="0" fontId="26" fillId="3" borderId="24" xfId="0" applyFont="1" applyFill="1" applyBorder="1" applyAlignment="1">
      <alignment horizontal="left" vertical="center"/>
    </xf>
    <xf numFmtId="0" fontId="26" fillId="3" borderId="20" xfId="0" applyFont="1" applyFill="1" applyBorder="1" applyAlignment="1">
      <alignment horizontal="center" vertical="center"/>
    </xf>
    <xf numFmtId="0" fontId="26" fillId="3" borderId="11" xfId="0" applyFont="1" applyFill="1" applyBorder="1" applyAlignment="1">
      <alignment horizontal="center" vertical="center"/>
    </xf>
    <xf numFmtId="0" fontId="26" fillId="3" borderId="14" xfId="0" applyFont="1" applyFill="1" applyBorder="1" applyAlignment="1">
      <alignment horizontal="center" vertical="center"/>
    </xf>
    <xf numFmtId="4" fontId="30" fillId="0" borderId="15" xfId="1" applyNumberFormat="1" applyFont="1" applyBorder="1" applyAlignment="1" applyProtection="1">
      <alignment horizontal="center" vertical="center"/>
      <protection locked="0"/>
    </xf>
    <xf numFmtId="4" fontId="30" fillId="0" borderId="16" xfId="1" applyNumberFormat="1" applyFont="1" applyBorder="1" applyAlignment="1" applyProtection="1">
      <alignment horizontal="center" vertical="center"/>
      <protection locked="0"/>
    </xf>
    <xf numFmtId="4" fontId="30" fillId="0" borderId="41" xfId="1" applyNumberFormat="1" applyFont="1" applyBorder="1" applyAlignment="1" applyProtection="1">
      <alignment horizontal="center" vertical="center"/>
      <protection locked="0"/>
    </xf>
    <xf numFmtId="4" fontId="27" fillId="0" borderId="4" xfId="1" applyNumberFormat="1" applyFont="1" applyBorder="1" applyAlignment="1" applyProtection="1">
      <alignment horizontal="center" vertical="center"/>
    </xf>
    <xf numFmtId="4" fontId="27" fillId="0" borderId="3" xfId="1" applyNumberFormat="1" applyFont="1" applyBorder="1" applyAlignment="1" applyProtection="1">
      <alignment horizontal="center" vertical="center"/>
    </xf>
    <xf numFmtId="4" fontId="27" fillId="0" borderId="21" xfId="1" applyNumberFormat="1" applyFont="1" applyBorder="1" applyAlignment="1" applyProtection="1">
      <alignment horizontal="center" vertical="center"/>
    </xf>
    <xf numFmtId="4" fontId="9" fillId="5" borderId="28" xfId="0" applyNumberFormat="1" applyFont="1" applyFill="1" applyBorder="1" applyAlignment="1">
      <alignment horizontal="center" vertical="center"/>
    </xf>
    <xf numFmtId="4" fontId="9" fillId="5" borderId="27" xfId="0" applyNumberFormat="1" applyFont="1" applyFill="1" applyBorder="1" applyAlignment="1">
      <alignment horizontal="center" vertical="center"/>
    </xf>
    <xf numFmtId="0" fontId="30" fillId="0" borderId="15" xfId="7" applyFont="1" applyBorder="1" applyAlignment="1">
      <alignment horizontal="left" vertical="center"/>
    </xf>
    <xf numFmtId="0" fontId="30" fillId="0" borderId="16" xfId="7" applyFont="1" applyBorder="1" applyAlignment="1">
      <alignment horizontal="left" vertical="center"/>
    </xf>
    <xf numFmtId="0" fontId="30" fillId="0" borderId="17" xfId="7" applyFont="1" applyBorder="1" applyAlignment="1">
      <alignment horizontal="left" vertical="center"/>
    </xf>
    <xf numFmtId="0" fontId="6" fillId="5" borderId="15" xfId="0" applyFont="1" applyFill="1" applyBorder="1" applyAlignment="1">
      <alignment horizontal="left" vertical="center"/>
    </xf>
    <xf numFmtId="0" fontId="6" fillId="5" borderId="16" xfId="0" applyFont="1" applyFill="1" applyBorder="1" applyAlignment="1">
      <alignment horizontal="left" vertical="center"/>
    </xf>
    <xf numFmtId="0" fontId="6" fillId="5" borderId="17" xfId="0" applyFont="1" applyFill="1" applyBorder="1" applyAlignment="1">
      <alignment horizontal="left" vertical="center"/>
    </xf>
    <xf numFmtId="0" fontId="29" fillId="0" borderId="4" xfId="0" applyFont="1" applyBorder="1" applyAlignment="1">
      <alignment horizontal="left" vertical="center"/>
    </xf>
    <xf numFmtId="0" fontId="29" fillId="0" borderId="3" xfId="0" applyFont="1" applyBorder="1" applyAlignment="1">
      <alignment horizontal="left" vertical="center"/>
    </xf>
    <xf numFmtId="0" fontId="29" fillId="0" borderId="5" xfId="0" applyFont="1" applyBorder="1" applyAlignment="1">
      <alignment horizontal="left" vertical="center"/>
    </xf>
    <xf numFmtId="0" fontId="27" fillId="5" borderId="15" xfId="0" applyFont="1" applyFill="1" applyBorder="1" applyAlignment="1">
      <alignment horizontal="left" vertical="center"/>
    </xf>
    <xf numFmtId="0" fontId="27" fillId="5" borderId="16" xfId="0" applyFont="1" applyFill="1" applyBorder="1" applyAlignment="1">
      <alignment horizontal="left" vertical="center"/>
    </xf>
    <xf numFmtId="0" fontId="27" fillId="5" borderId="17" xfId="0" applyFont="1" applyFill="1" applyBorder="1" applyAlignment="1">
      <alignment horizontal="left" vertical="center"/>
    </xf>
    <xf numFmtId="0" fontId="23" fillId="3" borderId="20" xfId="0" applyFont="1" applyFill="1" applyBorder="1" applyAlignment="1">
      <alignment horizontal="center" vertical="center"/>
    </xf>
    <xf numFmtId="0" fontId="23" fillId="3" borderId="11" xfId="0" applyFont="1" applyFill="1" applyBorder="1" applyAlignment="1">
      <alignment horizontal="center" vertical="center"/>
    </xf>
    <xf numFmtId="0" fontId="23" fillId="3" borderId="14" xfId="0" applyFont="1" applyFill="1" applyBorder="1" applyAlignment="1">
      <alignment horizontal="center" vertical="center"/>
    </xf>
    <xf numFmtId="4" fontId="30" fillId="0" borderId="4" xfId="1" applyNumberFormat="1" applyFont="1" applyBorder="1" applyAlignment="1" applyProtection="1">
      <alignment horizontal="center" vertical="center"/>
      <protection locked="0"/>
    </xf>
    <xf numFmtId="4" fontId="30" fillId="0" borderId="3" xfId="1" applyNumberFormat="1" applyFont="1" applyBorder="1" applyAlignment="1" applyProtection="1">
      <alignment horizontal="center" vertical="center"/>
      <protection locked="0"/>
    </xf>
    <xf numFmtId="4" fontId="30" fillId="0" borderId="21" xfId="1" applyNumberFormat="1" applyFont="1" applyBorder="1" applyAlignment="1" applyProtection="1">
      <alignment horizontal="center" vertical="center"/>
      <protection locked="0"/>
    </xf>
    <xf numFmtId="4" fontId="31" fillId="5" borderId="28" xfId="0" applyNumberFormat="1" applyFont="1" applyFill="1" applyBorder="1" applyAlignment="1">
      <alignment horizontal="center" vertical="center"/>
    </xf>
    <xf numFmtId="4" fontId="31" fillId="5" borderId="27" xfId="0" applyNumberFormat="1" applyFont="1" applyFill="1" applyBorder="1" applyAlignment="1">
      <alignment horizontal="center" vertical="center"/>
    </xf>
    <xf numFmtId="4" fontId="29" fillId="0" borderId="7" xfId="1" applyNumberFormat="1" applyFont="1" applyBorder="1" applyAlignment="1" applyProtection="1">
      <alignment horizontal="center" vertical="center"/>
      <protection locked="0"/>
    </xf>
    <xf numFmtId="4" fontId="29" fillId="0" borderId="25" xfId="1" applyNumberFormat="1" applyFont="1" applyBorder="1" applyAlignment="1" applyProtection="1">
      <alignment horizontal="center" vertical="center"/>
      <protection locked="0"/>
    </xf>
    <xf numFmtId="4" fontId="30" fillId="0" borderId="7" xfId="1" applyNumberFormat="1" applyFont="1" applyBorder="1" applyAlignment="1" applyProtection="1">
      <alignment horizontal="center" vertical="center"/>
      <protection locked="0"/>
    </xf>
    <xf numFmtId="4" fontId="30" fillId="0" borderId="25" xfId="1" applyNumberFormat="1" applyFont="1" applyBorder="1" applyAlignment="1" applyProtection="1">
      <alignment horizontal="center" vertical="center"/>
      <protection locked="0"/>
    </xf>
    <xf numFmtId="4" fontId="30" fillId="0" borderId="1" xfId="0" applyNumberFormat="1" applyFont="1" applyBorder="1" applyAlignment="1" applyProtection="1">
      <alignment horizontal="center" vertical="center"/>
      <protection locked="0"/>
    </xf>
    <xf numFmtId="4" fontId="30" fillId="0" borderId="23" xfId="0" applyNumberFormat="1" applyFont="1" applyBorder="1" applyAlignment="1" applyProtection="1">
      <alignment horizontal="center" vertical="center"/>
      <protection locked="0"/>
    </xf>
    <xf numFmtId="4" fontId="30" fillId="0" borderId="4" xfId="1" applyNumberFormat="1" applyFont="1" applyBorder="1" applyAlignment="1" applyProtection="1">
      <alignment horizontal="center" vertical="center"/>
    </xf>
    <xf numFmtId="4" fontId="30" fillId="0" borderId="3" xfId="1" applyNumberFormat="1" applyFont="1" applyBorder="1" applyAlignment="1" applyProtection="1">
      <alignment horizontal="center" vertical="center"/>
    </xf>
    <xf numFmtId="4" fontId="30" fillId="0" borderId="21" xfId="1" applyNumberFormat="1" applyFont="1" applyBorder="1" applyAlignment="1" applyProtection="1">
      <alignment horizontal="center" vertical="center"/>
    </xf>
    <xf numFmtId="0" fontId="23" fillId="4" borderId="37" xfId="0" applyFont="1" applyFill="1" applyBorder="1" applyAlignment="1">
      <alignment horizontal="left" vertical="center"/>
    </xf>
    <xf numFmtId="0" fontId="23" fillId="4" borderId="36" xfId="0" applyFont="1" applyFill="1" applyBorder="1" applyAlignment="1">
      <alignment horizontal="left" vertical="center"/>
    </xf>
    <xf numFmtId="0" fontId="23" fillId="4" borderId="38" xfId="0" applyFont="1" applyFill="1" applyBorder="1" applyAlignment="1">
      <alignment horizontal="left" vertical="center"/>
    </xf>
    <xf numFmtId="0" fontId="23" fillId="0" borderId="12" xfId="0" applyFont="1" applyBorder="1" applyAlignment="1">
      <alignment horizontal="center" vertical="center"/>
    </xf>
    <xf numFmtId="0" fontId="23" fillId="0" borderId="32" xfId="0" applyFont="1" applyBorder="1" applyAlignment="1">
      <alignment horizontal="center" vertical="center"/>
    </xf>
    <xf numFmtId="4" fontId="29" fillId="0" borderId="1" xfId="0" applyNumberFormat="1" applyFont="1" applyBorder="1" applyAlignment="1" applyProtection="1">
      <alignment horizontal="center" vertical="center"/>
      <protection locked="0"/>
    </xf>
    <xf numFmtId="4" fontId="29" fillId="0" borderId="23" xfId="0" applyNumberFormat="1" applyFont="1" applyBorder="1" applyAlignment="1" applyProtection="1">
      <alignment horizontal="center" vertical="center"/>
      <protection locked="0"/>
    </xf>
    <xf numFmtId="39" fontId="30" fillId="0" borderId="7" xfId="1" applyNumberFormat="1" applyFont="1" applyFill="1" applyBorder="1" applyAlignment="1" applyProtection="1">
      <alignment horizontal="center" vertical="center"/>
      <protection locked="0"/>
    </xf>
    <xf numFmtId="39" fontId="30" fillId="0" borderId="25" xfId="1" applyNumberFormat="1" applyFont="1" applyFill="1" applyBorder="1" applyAlignment="1" applyProtection="1">
      <alignment horizontal="center" vertical="center"/>
      <protection locked="0"/>
    </xf>
    <xf numFmtId="4" fontId="27" fillId="0" borderId="7" xfId="1" applyNumberFormat="1" applyFont="1" applyBorder="1" applyAlignment="1" applyProtection="1">
      <alignment horizontal="center" vertical="center"/>
    </xf>
    <xf numFmtId="4" fontId="27" fillId="0" borderId="25" xfId="1" applyNumberFormat="1" applyFont="1" applyBorder="1" applyAlignment="1" applyProtection="1">
      <alignment horizontal="center" vertical="center"/>
    </xf>
    <xf numFmtId="39" fontId="29" fillId="0" borderId="7" xfId="1" applyNumberFormat="1" applyFont="1" applyFill="1" applyBorder="1" applyAlignment="1" applyProtection="1">
      <alignment horizontal="center" vertical="center"/>
      <protection locked="0"/>
    </xf>
    <xf numFmtId="39" fontId="29" fillId="0" borderId="25" xfId="1" applyNumberFormat="1" applyFont="1" applyFill="1" applyBorder="1" applyAlignment="1" applyProtection="1">
      <alignment horizontal="center" vertical="center"/>
      <protection locked="0"/>
    </xf>
    <xf numFmtId="0" fontId="10" fillId="2" borderId="0" xfId="0" applyFont="1" applyFill="1" applyAlignment="1">
      <alignment horizontal="center" vertical="center"/>
    </xf>
    <xf numFmtId="0" fontId="30" fillId="2" borderId="0" xfId="3" applyFont="1" applyFill="1"/>
    <xf numFmtId="0" fontId="27" fillId="2" borderId="3" xfId="3" applyFont="1" applyFill="1" applyBorder="1" applyAlignment="1" applyProtection="1">
      <alignment horizontal="center" vertical="center"/>
      <protection locked="0"/>
    </xf>
    <xf numFmtId="0" fontId="30" fillId="2" borderId="0" xfId="3" applyFont="1" applyFill="1" applyAlignment="1">
      <alignment horizontal="left"/>
    </xf>
    <xf numFmtId="165" fontId="29" fillId="0" borderId="0" xfId="0" applyNumberFormat="1" applyFont="1" applyAlignment="1">
      <alignment horizontal="center" vertical="center" wrapText="1"/>
    </xf>
    <xf numFmtId="164" fontId="9" fillId="2" borderId="0" xfId="0" applyNumberFormat="1" applyFont="1" applyFill="1" applyAlignment="1">
      <alignment horizontal="center" vertical="center" wrapText="1"/>
    </xf>
    <xf numFmtId="14" fontId="9" fillId="2" borderId="0" xfId="0" applyNumberFormat="1" applyFont="1" applyFill="1" applyAlignment="1">
      <alignment horizontal="center" vertical="center" wrapText="1"/>
    </xf>
    <xf numFmtId="0" fontId="18" fillId="2" borderId="0" xfId="0" applyFont="1" applyFill="1" applyAlignment="1">
      <alignment horizontal="center" vertical="center"/>
    </xf>
    <xf numFmtId="166" fontId="3" fillId="2" borderId="1" xfId="3" applyNumberFormat="1" applyFill="1" applyBorder="1" applyAlignment="1" applyProtection="1">
      <alignment horizontal="center" vertical="center"/>
      <protection locked="0"/>
    </xf>
    <xf numFmtId="14" fontId="31" fillId="0" borderId="2" xfId="0" applyNumberFormat="1" applyFont="1" applyBorder="1" applyAlignment="1" applyProtection="1">
      <alignment horizontal="center" vertical="center" wrapText="1"/>
      <protection locked="0"/>
    </xf>
    <xf numFmtId="0" fontId="7" fillId="0" borderId="12" xfId="0" applyFont="1" applyBorder="1" applyAlignment="1">
      <alignment horizontal="center" vertical="center"/>
    </xf>
    <xf numFmtId="0" fontId="29" fillId="0" borderId="16" xfId="0" applyFont="1" applyBorder="1" applyAlignment="1">
      <alignment horizontal="center" vertical="center"/>
    </xf>
    <xf numFmtId="0" fontId="31" fillId="0" borderId="2" xfId="0" applyFont="1" applyBorder="1" applyAlignment="1" applyProtection="1">
      <alignment horizontal="center" vertical="center" wrapText="1"/>
      <protection locked="0"/>
    </xf>
    <xf numFmtId="0" fontId="34" fillId="0" borderId="0" xfId="0" applyFont="1" applyAlignment="1">
      <alignment horizontal="center" vertical="center"/>
    </xf>
    <xf numFmtId="0" fontId="34" fillId="0" borderId="9" xfId="0" applyFont="1" applyBorder="1" applyAlignment="1">
      <alignment horizontal="center" vertical="center"/>
    </xf>
    <xf numFmtId="49" fontId="27" fillId="2" borderId="33" xfId="0" applyNumberFormat="1" applyFont="1" applyFill="1" applyBorder="1" applyAlignment="1" applyProtection="1">
      <alignment horizontal="center" vertical="center"/>
      <protection locked="0"/>
    </xf>
    <xf numFmtId="49" fontId="27" fillId="2" borderId="6" xfId="0" applyNumberFormat="1" applyFont="1" applyFill="1" applyBorder="1" applyAlignment="1" applyProtection="1">
      <alignment horizontal="center" vertical="center"/>
      <protection locked="0"/>
    </xf>
    <xf numFmtId="0" fontId="32" fillId="2" borderId="35" xfId="0" applyFont="1" applyFill="1" applyBorder="1" applyAlignment="1">
      <alignment horizontal="center" vertical="top"/>
    </xf>
    <xf numFmtId="0" fontId="29" fillId="0" borderId="15" xfId="0" applyFont="1" applyBorder="1" applyAlignment="1">
      <alignment horizontal="left" vertical="center"/>
    </xf>
    <xf numFmtId="0" fontId="29" fillId="0" borderId="16" xfId="0" applyFont="1" applyBorder="1" applyAlignment="1">
      <alignment horizontal="left" vertical="center"/>
    </xf>
    <xf numFmtId="0" fontId="29" fillId="0" borderId="17" xfId="0" applyFont="1" applyBorder="1" applyAlignment="1">
      <alignment horizontal="left" vertical="center"/>
    </xf>
    <xf numFmtId="0" fontId="23" fillId="3" borderId="20" xfId="0" applyFont="1" applyFill="1" applyBorder="1" applyAlignment="1">
      <alignment horizontal="left" vertical="center"/>
    </xf>
    <xf numFmtId="0" fontId="23" fillId="3" borderId="11" xfId="0" applyFont="1" applyFill="1" applyBorder="1" applyAlignment="1">
      <alignment horizontal="left" vertical="center"/>
    </xf>
    <xf numFmtId="0" fontId="23" fillId="3" borderId="24" xfId="0" applyFont="1" applyFill="1" applyBorder="1" applyAlignment="1">
      <alignment horizontal="left" vertical="center"/>
    </xf>
    <xf numFmtId="0" fontId="21" fillId="2" borderId="0" xfId="0" applyFont="1" applyFill="1" applyAlignment="1">
      <alignment horizontal="center"/>
    </xf>
    <xf numFmtId="0" fontId="24" fillId="2" borderId="0" xfId="0" applyFont="1" applyFill="1" applyAlignment="1">
      <alignment horizontal="center" vertical="center"/>
    </xf>
    <xf numFmtId="0" fontId="35" fillId="2" borderId="0" xfId="0" applyFont="1" applyFill="1" applyAlignment="1">
      <alignment horizontal="center" vertical="top" wrapText="1"/>
    </xf>
    <xf numFmtId="0" fontId="27" fillId="2" borderId="0" xfId="0" applyFont="1" applyFill="1" applyAlignment="1">
      <alignment horizontal="center" vertical="center" wrapText="1"/>
    </xf>
    <xf numFmtId="0" fontId="27" fillId="2" borderId="9" xfId="0" applyFont="1" applyFill="1" applyBorder="1" applyAlignment="1">
      <alignment horizontal="center" vertical="center" wrapText="1"/>
    </xf>
    <xf numFmtId="0" fontId="28" fillId="0" borderId="33" xfId="0" applyFont="1" applyBorder="1" applyAlignment="1" applyProtection="1">
      <alignment horizontal="center" vertical="center"/>
      <protection locked="0"/>
    </xf>
    <xf numFmtId="0" fontId="28" fillId="0" borderId="6" xfId="0" applyFont="1" applyBorder="1" applyAlignment="1" applyProtection="1">
      <alignment horizontal="center" vertical="center"/>
      <protection locked="0"/>
    </xf>
    <xf numFmtId="0" fontId="27" fillId="2" borderId="0" xfId="0" applyFont="1" applyFill="1" applyAlignment="1">
      <alignment horizontal="left" vertical="center"/>
    </xf>
    <xf numFmtId="0" fontId="27" fillId="2" borderId="9" xfId="0" applyFont="1" applyFill="1" applyBorder="1" applyAlignment="1">
      <alignment horizontal="left" vertical="center"/>
    </xf>
    <xf numFmtId="0" fontId="27" fillId="2" borderId="33" xfId="0" applyFont="1" applyFill="1" applyBorder="1" applyAlignment="1" applyProtection="1">
      <alignment horizontal="center" vertical="center"/>
      <protection locked="0"/>
    </xf>
    <xf numFmtId="0" fontId="27" fillId="2" borderId="35" xfId="0" applyFont="1" applyFill="1" applyBorder="1" applyAlignment="1" applyProtection="1">
      <alignment horizontal="center" vertical="center"/>
      <protection locked="0"/>
    </xf>
    <xf numFmtId="0" fontId="27" fillId="2" borderId="6" xfId="0" applyFont="1" applyFill="1" applyBorder="1" applyAlignment="1" applyProtection="1">
      <alignment horizontal="center" vertical="center"/>
      <protection locked="0"/>
    </xf>
    <xf numFmtId="0" fontId="27" fillId="0" borderId="33" xfId="0" applyFont="1" applyBorder="1" applyAlignment="1" applyProtection="1">
      <alignment horizontal="center" vertical="center" wrapText="1"/>
      <protection locked="0"/>
    </xf>
    <xf numFmtId="0" fontId="27" fillId="0" borderId="35" xfId="0" applyFont="1" applyBorder="1" applyAlignment="1" applyProtection="1">
      <alignment horizontal="center" vertical="center" wrapText="1"/>
      <protection locked="0"/>
    </xf>
    <xf numFmtId="0" fontId="27" fillId="0" borderId="6" xfId="0" applyFont="1" applyBorder="1" applyAlignment="1" applyProtection="1">
      <alignment horizontal="center" vertical="center" wrapText="1"/>
      <protection locked="0"/>
    </xf>
    <xf numFmtId="0" fontId="35" fillId="2" borderId="0" xfId="0" applyFont="1" applyFill="1" applyAlignment="1">
      <alignment horizontal="center" vertical="center"/>
    </xf>
    <xf numFmtId="0" fontId="26" fillId="3" borderId="14" xfId="0" applyFont="1" applyFill="1" applyBorder="1" applyAlignment="1">
      <alignment horizontal="left" vertical="center"/>
    </xf>
    <xf numFmtId="0" fontId="0" fillId="2" borderId="0" xfId="0" applyFill="1" applyAlignment="1">
      <alignment horizontal="center" vertical="center"/>
    </xf>
    <xf numFmtId="0" fontId="33" fillId="2" borderId="19" xfId="0" applyFont="1" applyFill="1" applyBorder="1" applyAlignment="1">
      <alignment horizontal="center" vertical="center"/>
    </xf>
    <xf numFmtId="0" fontId="33" fillId="2" borderId="31" xfId="0" applyFont="1" applyFill="1" applyBorder="1" applyAlignment="1">
      <alignment horizontal="center" vertical="center"/>
    </xf>
  </cellXfs>
  <cellStyles count="13">
    <cellStyle name="Comma" xfId="1" builtinId="3"/>
    <cellStyle name="Comma 2" xfId="4" xr:uid="{00000000-0005-0000-0000-000001000000}"/>
    <cellStyle name="Comma 2 2" xfId="5" xr:uid="{00000000-0005-0000-0000-000002000000}"/>
    <cellStyle name="Comma 3" xfId="8" xr:uid="{00000000-0005-0000-0000-000003000000}"/>
    <cellStyle name="Comma 7" xfId="2" xr:uid="{00000000-0005-0000-0000-000004000000}"/>
    <cellStyle name="Normal" xfId="0" builtinId="0"/>
    <cellStyle name="Normal 10 4" xfId="6" xr:uid="{00000000-0005-0000-0000-000007000000}"/>
    <cellStyle name="Normal 2" xfId="7" xr:uid="{00000000-0005-0000-0000-000008000000}"/>
    <cellStyle name="Normal 2 2" xfId="3" xr:uid="{00000000-0005-0000-0000-000009000000}"/>
    <cellStyle name="Normal 3" xfId="11" xr:uid="{C0F961FE-EA4E-4C70-BDE9-21B42948DDD6}"/>
    <cellStyle name="Normal 3 2" xfId="12" xr:uid="{54407E03-A5DA-4DD5-AB6A-A7A9B2D7CAA0}"/>
    <cellStyle name="Percent" xfId="10" builtinId="5"/>
    <cellStyle name="Percent 2" xfId="9" xr:uid="{00000000-0005-0000-0000-00000A000000}"/>
  </cellStyles>
  <dxfs count="4">
    <dxf>
      <numFmt numFmtId="30" formatCode="@"/>
      <fill>
        <patternFill patternType="none">
          <fgColor indexed="64"/>
          <bgColor auto="1"/>
        </patternFill>
      </fill>
    </dxf>
    <dxf>
      <numFmt numFmtId="30" formatCode="@"/>
      <fill>
        <patternFill patternType="none">
          <fgColor indexed="64"/>
          <bgColor auto="1"/>
        </patternFill>
      </fill>
    </dxf>
    <dxf>
      <numFmt numFmtId="30" formatCode="@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82BC00"/>
      <color rgb="FF57545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126058</xdr:colOff>
      <xdr:row>1</xdr:row>
      <xdr:rowOff>92048</xdr:rowOff>
    </xdr:from>
    <xdr:to>
      <xdr:col>5</xdr:col>
      <xdr:colOff>162414</xdr:colOff>
      <xdr:row>5</xdr:row>
      <xdr:rowOff>140201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9C8726C3-1711-4DC7-AF53-54FF37F7F3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EFEFE"/>
            </a:clrFrom>
            <a:clrTo>
              <a:srgbClr val="FEFEFE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058" y="282548"/>
          <a:ext cx="2277112" cy="9625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62EB18A-947B-466B-B8C0-FBFE7B3F0887}" name="Table1" displayName="Table1" ref="E2:H182" totalsRowShown="0" headerRowDxfId="3">
  <autoFilter ref="E2:H182" xr:uid="{FF48D87A-92A6-4FE1-989A-5AD8FA2F12EE}"/>
  <tableColumns count="4">
    <tableColumn id="1" xr3:uid="{680F5EFC-CB4D-48B4-8B97-097C3341254D}" name="COD_ACT_ECONOMICA"/>
    <tableColumn id="2" xr3:uid="{C0F36A39-A223-42C0-A8EA-050D59F5A61F}" name="ACT_ECONOMICA" dataDxfId="2"/>
    <tableColumn id="3" xr3:uid="{8593F6F9-A5D8-4A46-93D4-0BF8CBEA2AC8}" name="TET HASTA 7.8M" dataDxfId="1" dataCellStyle="Percent"/>
    <tableColumn id="4" xr3:uid="{9FA429F7-7EDE-46DB-83ED-1018FD16F7A6}" name="TET DE 7.8M HASTA 15.6M" dataDxfId="0" dataCellStyle="Percent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C5FB2-0A5A-4B25-85B9-B6B59D571653}">
  <sheetPr>
    <tabColor rgb="FF002060"/>
  </sheetPr>
  <dimension ref="A1:Z88"/>
  <sheetViews>
    <sheetView showGridLines="0" tabSelected="1" zoomScale="80" zoomScaleNormal="80" zoomScaleSheetLayoutView="80" workbookViewId="0">
      <selection activeCell="U7" sqref="U7:V7"/>
    </sheetView>
  </sheetViews>
  <sheetFormatPr defaultColWidth="0" defaultRowHeight="14.5" zeroHeight="1"/>
  <cols>
    <col min="1" max="1" width="3" style="9" customWidth="1"/>
    <col min="2" max="2" width="5.1796875" style="10" customWidth="1"/>
    <col min="3" max="3" width="4.26953125" style="9" customWidth="1"/>
    <col min="4" max="4" width="11.81640625" style="9" customWidth="1"/>
    <col min="5" max="5" width="9.1796875" style="9" customWidth="1"/>
    <col min="6" max="7" width="4.7265625" style="9" customWidth="1"/>
    <col min="8" max="9" width="9.1796875" style="9" customWidth="1"/>
    <col min="10" max="10" width="4.7265625" style="9" customWidth="1"/>
    <col min="11" max="12" width="9.1796875" style="9" customWidth="1"/>
    <col min="13" max="13" width="7.81640625" style="9" customWidth="1"/>
    <col min="14" max="14" width="4.7265625" style="9" customWidth="1"/>
    <col min="15" max="15" width="11.1796875" style="9" customWidth="1"/>
    <col min="16" max="16" width="10.1796875" style="9" customWidth="1"/>
    <col min="17" max="17" width="9.1796875" style="9" customWidth="1"/>
    <col min="18" max="18" width="6.26953125" style="9" customWidth="1"/>
    <col min="19" max="19" width="6.453125" style="9" customWidth="1"/>
    <col min="20" max="20" width="8" style="9" customWidth="1"/>
    <col min="21" max="21" width="9.1796875" style="9" customWidth="1"/>
    <col min="22" max="22" width="8.453125" style="9" customWidth="1"/>
    <col min="23" max="23" width="1.7265625" style="9" customWidth="1"/>
    <col min="24" max="24" width="19.26953125" style="9" hidden="1" customWidth="1"/>
    <col min="25" max="25" width="9.1796875" style="9" hidden="1" customWidth="1"/>
    <col min="26" max="26" width="5.1796875" style="9" hidden="1" customWidth="1"/>
    <col min="27" max="16384" width="9.1796875" style="9" hidden="1"/>
  </cols>
  <sheetData>
    <row r="1" spans="1:23"/>
    <row r="2" spans="1:23" ht="18" customHeight="1"/>
    <row r="3" spans="1:23" ht="18" customHeight="1">
      <c r="A3" s="11"/>
      <c r="B3" s="12"/>
      <c r="C3" s="11"/>
      <c r="D3" s="11"/>
      <c r="E3" s="13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77"/>
      <c r="V3" s="177"/>
    </row>
    <row r="4" spans="1:23" ht="18" customHeight="1">
      <c r="A4" s="11"/>
      <c r="B4" s="12"/>
      <c r="C4" s="11"/>
      <c r="D4" s="11"/>
      <c r="E4" s="14"/>
      <c r="G4" s="192" t="s">
        <v>54</v>
      </c>
      <c r="H4" s="192"/>
      <c r="I4" s="192"/>
      <c r="J4" s="192"/>
      <c r="K4" s="192"/>
      <c r="L4" s="192"/>
      <c r="M4" s="192"/>
      <c r="N4" s="192"/>
      <c r="O4" s="192"/>
      <c r="P4" s="192"/>
      <c r="Q4" s="192"/>
      <c r="R4" s="192"/>
      <c r="S4" s="192"/>
      <c r="T4" s="192"/>
      <c r="U4" s="178" t="s">
        <v>39</v>
      </c>
      <c r="V4" s="178"/>
    </row>
    <row r="5" spans="1:23" ht="18" customHeight="1">
      <c r="A5" s="11"/>
      <c r="B5" s="12"/>
      <c r="C5" s="11"/>
      <c r="D5" s="11"/>
      <c r="E5" s="14"/>
      <c r="F5" s="15"/>
      <c r="G5" s="179" t="s">
        <v>38</v>
      </c>
      <c r="H5" s="179"/>
      <c r="I5" s="179"/>
      <c r="J5" s="179"/>
      <c r="K5" s="179"/>
      <c r="L5" s="179"/>
      <c r="M5" s="179"/>
      <c r="N5" s="179"/>
      <c r="O5" s="179"/>
      <c r="P5" s="179"/>
      <c r="Q5" s="179"/>
      <c r="R5" s="179"/>
      <c r="S5" s="179"/>
      <c r="T5" s="16"/>
      <c r="U5" s="17"/>
      <c r="V5" s="17"/>
      <c r="W5" s="16"/>
    </row>
    <row r="6" spans="1:23" ht="18" customHeight="1" thickBot="1">
      <c r="A6" s="11"/>
      <c r="B6" s="12"/>
      <c r="C6" s="11"/>
      <c r="D6" s="11"/>
      <c r="E6" s="14"/>
      <c r="F6" s="15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6"/>
      <c r="U6" s="17"/>
      <c r="V6" s="17"/>
      <c r="W6" s="16"/>
    </row>
    <row r="7" spans="1:23" ht="18" customHeight="1" thickBot="1">
      <c r="A7" s="11"/>
      <c r="B7" s="194" t="s">
        <v>479</v>
      </c>
      <c r="C7" s="194"/>
      <c r="D7" s="194"/>
      <c r="E7" s="14"/>
      <c r="F7" s="15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80" t="s">
        <v>18</v>
      </c>
      <c r="S7" s="180"/>
      <c r="T7" s="181"/>
      <c r="U7" s="182"/>
      <c r="V7" s="183"/>
      <c r="W7" s="19"/>
    </row>
    <row r="8" spans="1:23" ht="18" customHeight="1" thickBot="1">
      <c r="A8" s="11"/>
      <c r="B8" s="12"/>
      <c r="C8" s="11"/>
      <c r="D8" s="11"/>
      <c r="E8" s="14"/>
      <c r="F8" s="15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W8" s="16"/>
    </row>
    <row r="9" spans="1:23" s="22" customFormat="1" ht="23.15" customHeight="1">
      <c r="A9" s="20"/>
      <c r="B9" s="21" t="s">
        <v>1</v>
      </c>
      <c r="C9" s="97" t="s">
        <v>0</v>
      </c>
      <c r="D9" s="98"/>
      <c r="E9" s="98"/>
      <c r="F9" s="98"/>
      <c r="G9" s="98"/>
      <c r="H9" s="98"/>
      <c r="I9" s="98"/>
      <c r="J9" s="98"/>
      <c r="K9" s="98"/>
      <c r="L9" s="98"/>
      <c r="M9" s="98"/>
      <c r="N9" s="98"/>
      <c r="O9" s="98"/>
      <c r="P9" s="98"/>
      <c r="Q9" s="98"/>
      <c r="R9" s="98"/>
      <c r="S9" s="98"/>
      <c r="T9" s="98"/>
      <c r="U9" s="98"/>
      <c r="V9" s="193"/>
    </row>
    <row r="10" spans="1:23" s="26" customFormat="1" ht="23.15" customHeight="1" thickBot="1">
      <c r="A10" s="23"/>
      <c r="B10" s="195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5"/>
    </row>
    <row r="11" spans="1:23" s="26" customFormat="1" ht="23.15" customHeight="1" thickBot="1">
      <c r="A11" s="23"/>
      <c r="B11" s="195"/>
      <c r="C11" s="184" t="s">
        <v>21</v>
      </c>
      <c r="D11" s="184"/>
      <c r="E11" s="185"/>
      <c r="F11" s="186"/>
      <c r="G11" s="187"/>
      <c r="H11" s="187"/>
      <c r="I11" s="188"/>
      <c r="J11" s="27"/>
      <c r="K11" s="27"/>
      <c r="L11" s="184" t="s">
        <v>427</v>
      </c>
      <c r="M11" s="184"/>
      <c r="N11" s="184"/>
      <c r="O11" s="184"/>
      <c r="P11" s="186"/>
      <c r="Q11" s="187"/>
      <c r="R11" s="187"/>
      <c r="S11" s="187"/>
      <c r="T11" s="187"/>
      <c r="U11" s="188"/>
      <c r="V11" s="28"/>
    </row>
    <row r="12" spans="1:23" s="26" customFormat="1" ht="23.15" customHeight="1" thickBot="1">
      <c r="A12" s="23"/>
      <c r="B12" s="195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8"/>
    </row>
    <row r="13" spans="1:23" s="26" customFormat="1" ht="23.15" customHeight="1" thickBot="1">
      <c r="A13" s="23"/>
      <c r="B13" s="195"/>
      <c r="C13" s="184" t="s">
        <v>22</v>
      </c>
      <c r="D13" s="184"/>
      <c r="E13" s="185"/>
      <c r="F13" s="186"/>
      <c r="G13" s="187"/>
      <c r="H13" s="187"/>
      <c r="I13" s="188"/>
      <c r="J13" s="27"/>
      <c r="K13" s="27"/>
      <c r="L13" s="184" t="s">
        <v>24</v>
      </c>
      <c r="M13" s="184"/>
      <c r="N13" s="184"/>
      <c r="O13" s="184"/>
      <c r="P13" s="186"/>
      <c r="Q13" s="187"/>
      <c r="R13" s="187"/>
      <c r="S13" s="187"/>
      <c r="T13" s="187"/>
      <c r="U13" s="188"/>
      <c r="V13" s="28"/>
    </row>
    <row r="14" spans="1:23" s="26" customFormat="1" ht="22.5" customHeight="1" thickBot="1">
      <c r="A14" s="23"/>
      <c r="B14" s="195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8"/>
    </row>
    <row r="15" spans="1:23" s="26" customFormat="1" ht="23.15" customHeight="1" thickBot="1">
      <c r="A15" s="23"/>
      <c r="B15" s="195"/>
      <c r="C15" s="184" t="s">
        <v>35</v>
      </c>
      <c r="D15" s="184"/>
      <c r="E15" s="185"/>
      <c r="F15" s="186"/>
      <c r="G15" s="187"/>
      <c r="H15" s="187"/>
      <c r="I15" s="188"/>
      <c r="J15" s="27"/>
      <c r="K15" s="27"/>
      <c r="L15" s="184" t="s">
        <v>37</v>
      </c>
      <c r="M15" s="184"/>
      <c r="N15" s="184"/>
      <c r="O15" s="184"/>
      <c r="P15" s="189" t="s">
        <v>418</v>
      </c>
      <c r="Q15" s="190"/>
      <c r="R15" s="190"/>
      <c r="S15" s="190"/>
      <c r="T15" s="190"/>
      <c r="U15" s="191"/>
      <c r="V15" s="28"/>
    </row>
    <row r="16" spans="1:23" s="26" customFormat="1" ht="22.5" customHeight="1" thickBot="1">
      <c r="A16" s="23"/>
      <c r="B16" s="195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8"/>
    </row>
    <row r="17" spans="1:23" s="26" customFormat="1" ht="23.15" customHeight="1" thickBot="1">
      <c r="A17" s="23"/>
      <c r="B17" s="195"/>
      <c r="C17" s="184" t="s">
        <v>23</v>
      </c>
      <c r="D17" s="184"/>
      <c r="E17" s="185"/>
      <c r="F17" s="186"/>
      <c r="G17" s="187"/>
      <c r="H17" s="187"/>
      <c r="I17" s="188"/>
      <c r="J17" s="27"/>
      <c r="K17" s="27"/>
      <c r="L17" s="184" t="s">
        <v>25</v>
      </c>
      <c r="M17" s="184"/>
      <c r="N17" s="184"/>
      <c r="O17" s="184"/>
      <c r="P17" s="5"/>
      <c r="Q17" s="5"/>
      <c r="R17" s="168"/>
      <c r="S17" s="169"/>
      <c r="T17" s="27"/>
      <c r="U17" s="27"/>
      <c r="V17" s="28"/>
    </row>
    <row r="18" spans="1:23" s="26" customFormat="1" ht="23.15" customHeight="1" thickBot="1">
      <c r="A18" s="23"/>
      <c r="B18" s="196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30" t="s">
        <v>26</v>
      </c>
      <c r="Q18" s="30" t="s">
        <v>27</v>
      </c>
      <c r="R18" s="170" t="s">
        <v>28</v>
      </c>
      <c r="S18" s="170"/>
      <c r="T18" s="29"/>
      <c r="U18" s="29"/>
      <c r="V18" s="31"/>
    </row>
    <row r="19" spans="1:23" ht="23.15" customHeight="1" thickBot="1">
      <c r="A19" s="90"/>
      <c r="B19" s="90"/>
      <c r="C19" s="90"/>
      <c r="D19" s="90"/>
      <c r="E19" s="90"/>
      <c r="F19" s="90"/>
      <c r="G19" s="90"/>
      <c r="H19" s="90"/>
      <c r="I19" s="90"/>
      <c r="J19" s="90"/>
      <c r="K19" s="90"/>
      <c r="L19" s="90"/>
      <c r="M19" s="90"/>
      <c r="N19" s="90"/>
      <c r="O19" s="90"/>
      <c r="P19" s="90"/>
      <c r="Q19" s="90"/>
      <c r="R19" s="90"/>
      <c r="S19" s="90"/>
      <c r="T19" s="90"/>
      <c r="U19" s="90"/>
      <c r="V19" s="90"/>
      <c r="W19" s="90"/>
    </row>
    <row r="20" spans="1:23" s="22" customFormat="1" ht="23.15" customHeight="1">
      <c r="B20" s="32" t="s">
        <v>2</v>
      </c>
      <c r="C20" s="97" t="s">
        <v>40</v>
      </c>
      <c r="D20" s="98"/>
      <c r="E20" s="98"/>
      <c r="F20" s="98"/>
      <c r="G20" s="98"/>
      <c r="H20" s="98"/>
      <c r="I20" s="98"/>
      <c r="J20" s="98"/>
      <c r="K20" s="98"/>
      <c r="L20" s="98"/>
      <c r="M20" s="98"/>
      <c r="N20" s="98"/>
      <c r="O20" s="98"/>
      <c r="P20" s="98"/>
      <c r="Q20" s="98"/>
      <c r="R20" s="98"/>
      <c r="S20" s="99"/>
      <c r="T20" s="123" t="s">
        <v>52</v>
      </c>
      <c r="U20" s="124"/>
      <c r="V20" s="125"/>
    </row>
    <row r="21" spans="1:23" ht="23.15" customHeight="1" thickBot="1">
      <c r="B21" s="33">
        <v>1</v>
      </c>
      <c r="C21" s="171" t="s">
        <v>40</v>
      </c>
      <c r="D21" s="172"/>
      <c r="E21" s="172"/>
      <c r="F21" s="172"/>
      <c r="G21" s="172"/>
      <c r="H21" s="172"/>
      <c r="I21" s="172"/>
      <c r="J21" s="172"/>
      <c r="K21" s="172"/>
      <c r="L21" s="172"/>
      <c r="M21" s="172"/>
      <c r="N21" s="172"/>
      <c r="O21" s="172"/>
      <c r="P21" s="172"/>
      <c r="Q21" s="172"/>
      <c r="R21" s="173"/>
      <c r="S21" s="34" t="s">
        <v>433</v>
      </c>
      <c r="T21" s="103">
        <v>0</v>
      </c>
      <c r="U21" s="104"/>
      <c r="V21" s="105"/>
    </row>
    <row r="22" spans="1:23" ht="23.15" customHeight="1" thickBot="1">
      <c r="A22" s="90"/>
      <c r="B22" s="90"/>
      <c r="C22" s="90"/>
      <c r="D22" s="90"/>
      <c r="E22" s="90"/>
      <c r="F22" s="90"/>
      <c r="G22" s="90"/>
      <c r="H22" s="90"/>
      <c r="I22" s="90"/>
      <c r="J22" s="90"/>
      <c r="K22" s="90"/>
      <c r="L22" s="90"/>
      <c r="M22" s="90"/>
      <c r="N22" s="90"/>
      <c r="O22" s="90"/>
      <c r="P22" s="90"/>
      <c r="Q22" s="90"/>
      <c r="R22" s="90"/>
      <c r="S22" s="90"/>
      <c r="T22" s="90"/>
      <c r="U22" s="90"/>
      <c r="V22" s="90"/>
      <c r="W22" s="90"/>
    </row>
    <row r="23" spans="1:23" s="22" customFormat="1" ht="23.15" customHeight="1">
      <c r="B23" s="32" t="s">
        <v>3</v>
      </c>
      <c r="C23" s="174" t="s">
        <v>62</v>
      </c>
      <c r="D23" s="175"/>
      <c r="E23" s="175"/>
      <c r="F23" s="175"/>
      <c r="G23" s="175"/>
      <c r="H23" s="175"/>
      <c r="I23" s="175"/>
      <c r="J23" s="175"/>
      <c r="K23" s="175"/>
      <c r="L23" s="175"/>
      <c r="M23" s="175"/>
      <c r="N23" s="175"/>
      <c r="O23" s="175"/>
      <c r="P23" s="175"/>
      <c r="Q23" s="175"/>
      <c r="R23" s="175"/>
      <c r="S23" s="176"/>
      <c r="T23" s="100" t="s">
        <v>52</v>
      </c>
      <c r="U23" s="101"/>
      <c r="V23" s="102"/>
    </row>
    <row r="24" spans="1:23" ht="23.15" customHeight="1">
      <c r="B24" s="35">
        <v>2</v>
      </c>
      <c r="C24" s="117" t="s">
        <v>51</v>
      </c>
      <c r="D24" s="118"/>
      <c r="E24" s="118"/>
      <c r="F24" s="118"/>
      <c r="G24" s="118"/>
      <c r="H24" s="118"/>
      <c r="I24" s="118"/>
      <c r="J24" s="118"/>
      <c r="K24" s="118"/>
      <c r="L24" s="118"/>
      <c r="M24" s="118"/>
      <c r="N24" s="118"/>
      <c r="O24" s="118"/>
      <c r="P24" s="118"/>
      <c r="Q24" s="118"/>
      <c r="R24" s="119"/>
      <c r="S24" s="36" t="s">
        <v>433</v>
      </c>
      <c r="T24" s="126">
        <v>0</v>
      </c>
      <c r="U24" s="127"/>
      <c r="V24" s="128"/>
    </row>
    <row r="25" spans="1:23" ht="23.15" customHeight="1">
      <c r="B25" s="35">
        <v>3</v>
      </c>
      <c r="C25" s="91" t="s">
        <v>31</v>
      </c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3"/>
      <c r="S25" s="37" t="s">
        <v>433</v>
      </c>
      <c r="T25" s="126">
        <v>0</v>
      </c>
      <c r="U25" s="127"/>
      <c r="V25" s="128"/>
    </row>
    <row r="26" spans="1:23" ht="23.15" customHeight="1">
      <c r="B26" s="35">
        <v>4</v>
      </c>
      <c r="C26" s="91" t="s">
        <v>32</v>
      </c>
      <c r="D26" s="92"/>
      <c r="E26" s="92"/>
      <c r="F26" s="92"/>
      <c r="G26" s="92"/>
      <c r="H26" s="92"/>
      <c r="I26" s="92"/>
      <c r="J26" s="92"/>
      <c r="K26" s="92"/>
      <c r="L26" s="92"/>
      <c r="M26" s="92"/>
      <c r="N26" s="92"/>
      <c r="O26" s="92"/>
      <c r="P26" s="92"/>
      <c r="Q26" s="92"/>
      <c r="R26" s="93"/>
      <c r="S26" s="37" t="s">
        <v>433</v>
      </c>
      <c r="T26" s="126">
        <v>0</v>
      </c>
      <c r="U26" s="127"/>
      <c r="V26" s="128"/>
    </row>
    <row r="27" spans="1:23" ht="23.15" customHeight="1" thickBot="1">
      <c r="B27" s="38">
        <v>5</v>
      </c>
      <c r="C27" s="120" t="s">
        <v>437</v>
      </c>
      <c r="D27" s="121"/>
      <c r="E27" s="121"/>
      <c r="F27" s="121"/>
      <c r="G27" s="121"/>
      <c r="H27" s="121"/>
      <c r="I27" s="121"/>
      <c r="J27" s="121"/>
      <c r="K27" s="121"/>
      <c r="L27" s="121"/>
      <c r="M27" s="121"/>
      <c r="N27" s="121"/>
      <c r="O27" s="121"/>
      <c r="P27" s="121"/>
      <c r="Q27" s="121"/>
      <c r="R27" s="122"/>
      <c r="S27" s="39" t="s">
        <v>434</v>
      </c>
      <c r="T27" s="129">
        <f>+SUM(T24:V26)</f>
        <v>0</v>
      </c>
      <c r="U27" s="129"/>
      <c r="V27" s="130"/>
    </row>
    <row r="28" spans="1:23" ht="23.15" customHeight="1" thickBot="1">
      <c r="A28" s="90"/>
      <c r="B28" s="90"/>
      <c r="C28" s="90"/>
      <c r="D28" s="90"/>
      <c r="E28" s="90"/>
      <c r="F28" s="90"/>
      <c r="G28" s="90"/>
      <c r="H28" s="90"/>
      <c r="I28" s="90"/>
      <c r="J28" s="90"/>
      <c r="K28" s="90"/>
      <c r="L28" s="90"/>
      <c r="M28" s="90"/>
      <c r="N28" s="90"/>
      <c r="O28" s="90"/>
      <c r="P28" s="90"/>
      <c r="Q28" s="90"/>
      <c r="R28" s="90"/>
      <c r="S28" s="90"/>
      <c r="T28" s="90"/>
      <c r="U28" s="90"/>
      <c r="V28" s="90"/>
      <c r="W28" s="90"/>
    </row>
    <row r="29" spans="1:23" s="22" customFormat="1" ht="23.15" customHeight="1">
      <c r="B29" s="32" t="s">
        <v>4</v>
      </c>
      <c r="C29" s="97" t="s">
        <v>429</v>
      </c>
      <c r="D29" s="98"/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9"/>
      <c r="T29" s="123" t="s">
        <v>52</v>
      </c>
      <c r="U29" s="124"/>
      <c r="V29" s="125"/>
    </row>
    <row r="30" spans="1:23" ht="23.15" customHeight="1">
      <c r="B30" s="35">
        <v>6</v>
      </c>
      <c r="C30" s="91" t="s">
        <v>29</v>
      </c>
      <c r="D30" s="92"/>
      <c r="E30" s="92"/>
      <c r="F30" s="92"/>
      <c r="G30" s="92"/>
      <c r="H30" s="92"/>
      <c r="I30" s="92"/>
      <c r="J30" s="92"/>
      <c r="K30" s="92"/>
      <c r="L30" s="92"/>
      <c r="M30" s="92"/>
      <c r="N30" s="92"/>
      <c r="O30" s="92"/>
      <c r="P30" s="92"/>
      <c r="Q30" s="92"/>
      <c r="R30" s="93"/>
      <c r="S30" s="37" t="s">
        <v>433</v>
      </c>
      <c r="T30" s="126">
        <v>0</v>
      </c>
      <c r="U30" s="127"/>
      <c r="V30" s="128"/>
    </row>
    <row r="31" spans="1:23" ht="23.15" customHeight="1">
      <c r="B31" s="35">
        <v>7</v>
      </c>
      <c r="C31" s="91" t="s">
        <v>61</v>
      </c>
      <c r="D31" s="92"/>
      <c r="E31" s="92"/>
      <c r="F31" s="92"/>
      <c r="G31" s="92"/>
      <c r="H31" s="92"/>
      <c r="I31" s="92"/>
      <c r="J31" s="92"/>
      <c r="K31" s="92"/>
      <c r="L31" s="92"/>
      <c r="M31" s="92"/>
      <c r="N31" s="92"/>
      <c r="O31" s="92"/>
      <c r="P31" s="92"/>
      <c r="Q31" s="92"/>
      <c r="R31" s="93"/>
      <c r="S31" s="37" t="s">
        <v>433</v>
      </c>
      <c r="T31" s="131">
        <v>0</v>
      </c>
      <c r="U31" s="131"/>
      <c r="V31" s="132"/>
    </row>
    <row r="32" spans="1:23" ht="23.15" customHeight="1">
      <c r="B32" s="35">
        <v>8</v>
      </c>
      <c r="C32" s="91" t="s">
        <v>30</v>
      </c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2"/>
      <c r="Q32" s="92"/>
      <c r="R32" s="93"/>
      <c r="S32" s="37" t="s">
        <v>433</v>
      </c>
      <c r="T32" s="133">
        <v>0</v>
      </c>
      <c r="U32" s="133"/>
      <c r="V32" s="134"/>
    </row>
    <row r="33" spans="1:25" ht="23.15" customHeight="1">
      <c r="B33" s="35">
        <v>9</v>
      </c>
      <c r="C33" s="91" t="s">
        <v>428</v>
      </c>
      <c r="D33" s="92"/>
      <c r="E33" s="92"/>
      <c r="F33" s="92"/>
      <c r="G33" s="92"/>
      <c r="H33" s="92"/>
      <c r="I33" s="92"/>
      <c r="J33" s="92"/>
      <c r="K33" s="92"/>
      <c r="L33" s="92"/>
      <c r="M33" s="92"/>
      <c r="N33" s="92"/>
      <c r="O33" s="92"/>
      <c r="P33" s="92"/>
      <c r="Q33" s="92"/>
      <c r="R33" s="93"/>
      <c r="S33" s="37" t="s">
        <v>433</v>
      </c>
      <c r="T33" s="131">
        <v>0</v>
      </c>
      <c r="U33" s="131"/>
      <c r="V33" s="132"/>
      <c r="W33" s="40"/>
    </row>
    <row r="34" spans="1:25" ht="23.15" customHeight="1">
      <c r="B34" s="41">
        <v>10</v>
      </c>
      <c r="C34" s="91" t="s">
        <v>41</v>
      </c>
      <c r="D34" s="92"/>
      <c r="E34" s="92"/>
      <c r="F34" s="92"/>
      <c r="G34" s="92"/>
      <c r="H34" s="92"/>
      <c r="I34" s="92"/>
      <c r="J34" s="92"/>
      <c r="K34" s="92"/>
      <c r="L34" s="92"/>
      <c r="M34" s="92"/>
      <c r="N34" s="92"/>
      <c r="O34" s="92"/>
      <c r="P34" s="92"/>
      <c r="Q34" s="92"/>
      <c r="R34" s="93"/>
      <c r="S34" s="37" t="s">
        <v>433</v>
      </c>
      <c r="T34" s="135">
        <v>0</v>
      </c>
      <c r="U34" s="135"/>
      <c r="V34" s="136"/>
    </row>
    <row r="35" spans="1:25" ht="23.15" customHeight="1" thickBot="1">
      <c r="B35" s="38">
        <v>11</v>
      </c>
      <c r="C35" s="120" t="s">
        <v>444</v>
      </c>
      <c r="D35" s="121"/>
      <c r="E35" s="121"/>
      <c r="F35" s="121"/>
      <c r="G35" s="121"/>
      <c r="H35" s="121"/>
      <c r="I35" s="121"/>
      <c r="J35" s="121"/>
      <c r="K35" s="121"/>
      <c r="L35" s="121"/>
      <c r="M35" s="121"/>
      <c r="N35" s="121"/>
      <c r="O35" s="121"/>
      <c r="P35" s="121"/>
      <c r="Q35" s="121"/>
      <c r="R35" s="122"/>
      <c r="S35" s="39" t="s">
        <v>434</v>
      </c>
      <c r="T35" s="129">
        <f>SUM(T30:V34)</f>
        <v>0</v>
      </c>
      <c r="U35" s="129"/>
      <c r="V35" s="130"/>
    </row>
    <row r="36" spans="1:25" ht="23.15" customHeight="1" thickBot="1">
      <c r="A36" s="90"/>
      <c r="B36" s="90"/>
      <c r="C36" s="90"/>
      <c r="D36" s="90"/>
      <c r="E36" s="90"/>
      <c r="F36" s="90"/>
      <c r="G36" s="90"/>
      <c r="H36" s="90"/>
      <c r="I36" s="90"/>
      <c r="J36" s="90"/>
      <c r="K36" s="90"/>
      <c r="L36" s="90"/>
      <c r="M36" s="90"/>
      <c r="N36" s="90"/>
      <c r="O36" s="90"/>
      <c r="P36" s="90"/>
      <c r="Q36" s="90"/>
      <c r="R36" s="90"/>
      <c r="S36" s="90"/>
      <c r="T36" s="90"/>
      <c r="U36" s="90"/>
      <c r="V36" s="90"/>
      <c r="W36" s="90"/>
    </row>
    <row r="37" spans="1:25" s="22" customFormat="1" ht="23.15" customHeight="1">
      <c r="B37" s="32" t="s">
        <v>5</v>
      </c>
      <c r="C37" s="97" t="s">
        <v>33</v>
      </c>
      <c r="D37" s="98"/>
      <c r="E37" s="98"/>
      <c r="F37" s="98"/>
      <c r="G37" s="98"/>
      <c r="H37" s="98"/>
      <c r="I37" s="98"/>
      <c r="J37" s="98"/>
      <c r="K37" s="98"/>
      <c r="L37" s="98"/>
      <c r="M37" s="98"/>
      <c r="N37" s="98"/>
      <c r="O37" s="98"/>
      <c r="P37" s="98"/>
      <c r="Q37" s="98"/>
      <c r="R37" s="98"/>
      <c r="S37" s="99"/>
      <c r="T37" s="100" t="s">
        <v>52</v>
      </c>
      <c r="U37" s="101"/>
      <c r="V37" s="102"/>
    </row>
    <row r="38" spans="1:25" ht="23.15" customHeight="1" thickBot="1">
      <c r="B38" s="33">
        <v>12</v>
      </c>
      <c r="C38" s="111" t="s">
        <v>33</v>
      </c>
      <c r="D38" s="112"/>
      <c r="E38" s="112"/>
      <c r="F38" s="112"/>
      <c r="G38" s="112"/>
      <c r="H38" s="112"/>
      <c r="I38" s="112"/>
      <c r="J38" s="112"/>
      <c r="K38" s="112"/>
      <c r="L38" s="112"/>
      <c r="M38" s="112"/>
      <c r="N38" s="112"/>
      <c r="O38" s="112"/>
      <c r="P38" s="112"/>
      <c r="Q38" s="112"/>
      <c r="R38" s="113"/>
      <c r="S38" s="42" t="s">
        <v>433</v>
      </c>
      <c r="T38" s="103">
        <v>0</v>
      </c>
      <c r="U38" s="104"/>
      <c r="V38" s="105"/>
    </row>
    <row r="39" spans="1:25" ht="23.15" customHeight="1" thickBot="1">
      <c r="A39" s="90"/>
      <c r="B39" s="90"/>
      <c r="C39" s="90"/>
      <c r="D39" s="90"/>
      <c r="E39" s="90"/>
      <c r="F39" s="90"/>
      <c r="G39" s="90"/>
      <c r="H39" s="90"/>
      <c r="I39" s="90"/>
      <c r="J39" s="90"/>
      <c r="K39" s="90"/>
      <c r="L39" s="90"/>
      <c r="M39" s="90"/>
      <c r="N39" s="90"/>
      <c r="O39" s="90"/>
      <c r="P39" s="90"/>
      <c r="Q39" s="90"/>
      <c r="R39" s="90"/>
      <c r="S39" s="90"/>
      <c r="T39" s="90"/>
      <c r="U39" s="90"/>
      <c r="V39" s="90"/>
      <c r="W39" s="90"/>
    </row>
    <row r="40" spans="1:25" s="22" customFormat="1" ht="23.15" customHeight="1">
      <c r="B40" s="32" t="s">
        <v>60</v>
      </c>
      <c r="C40" s="97" t="s">
        <v>19</v>
      </c>
      <c r="D40" s="98"/>
      <c r="E40" s="98"/>
      <c r="F40" s="98"/>
      <c r="G40" s="98"/>
      <c r="H40" s="98"/>
      <c r="I40" s="98"/>
      <c r="J40" s="98"/>
      <c r="K40" s="98"/>
      <c r="L40" s="98"/>
      <c r="M40" s="98"/>
      <c r="N40" s="98"/>
      <c r="O40" s="98"/>
      <c r="P40" s="98"/>
      <c r="Q40" s="98"/>
      <c r="R40" s="98"/>
      <c r="S40" s="99"/>
      <c r="T40" s="100" t="s">
        <v>52</v>
      </c>
      <c r="U40" s="101"/>
      <c r="V40" s="102"/>
    </row>
    <row r="41" spans="1:25" ht="23.15" customHeight="1" thickBot="1">
      <c r="B41" s="43">
        <v>13</v>
      </c>
      <c r="C41" s="114" t="s">
        <v>438</v>
      </c>
      <c r="D41" s="115"/>
      <c r="E41" s="115"/>
      <c r="F41" s="115"/>
      <c r="G41" s="115"/>
      <c r="H41" s="115"/>
      <c r="I41" s="115"/>
      <c r="J41" s="115"/>
      <c r="K41" s="115"/>
      <c r="L41" s="115"/>
      <c r="M41" s="115"/>
      <c r="N41" s="115"/>
      <c r="O41" s="115"/>
      <c r="P41" s="115"/>
      <c r="Q41" s="115"/>
      <c r="R41" s="116"/>
      <c r="S41" s="44" t="s">
        <v>434</v>
      </c>
      <c r="T41" s="109">
        <f>T21+T27+T35+T38</f>
        <v>0</v>
      </c>
      <c r="U41" s="109"/>
      <c r="V41" s="110"/>
    </row>
    <row r="42" spans="1:25" ht="23.15" customHeight="1" thickBot="1">
      <c r="A42" s="90"/>
      <c r="B42" s="90"/>
      <c r="C42" s="90"/>
      <c r="D42" s="90"/>
      <c r="E42" s="90"/>
      <c r="F42" s="90"/>
      <c r="G42" s="90"/>
      <c r="H42" s="90"/>
      <c r="I42" s="90"/>
      <c r="J42" s="90"/>
      <c r="K42" s="90"/>
      <c r="L42" s="90"/>
      <c r="M42" s="90"/>
      <c r="N42" s="90"/>
      <c r="O42" s="90"/>
      <c r="P42" s="90"/>
      <c r="Q42" s="90"/>
      <c r="R42" s="90"/>
      <c r="S42" s="90"/>
      <c r="T42" s="90"/>
      <c r="U42" s="90"/>
      <c r="V42" s="90"/>
      <c r="W42" s="90"/>
    </row>
    <row r="43" spans="1:25" s="22" customFormat="1" ht="23.15" customHeight="1">
      <c r="B43" s="32" t="s">
        <v>430</v>
      </c>
      <c r="C43" s="97" t="s">
        <v>20</v>
      </c>
      <c r="D43" s="98"/>
      <c r="E43" s="98"/>
      <c r="F43" s="98"/>
      <c r="G43" s="98"/>
      <c r="H43" s="98"/>
      <c r="I43" s="98"/>
      <c r="J43" s="98"/>
      <c r="K43" s="98"/>
      <c r="L43" s="98"/>
      <c r="M43" s="98"/>
      <c r="N43" s="98"/>
      <c r="O43" s="98"/>
      <c r="P43" s="98"/>
      <c r="Q43" s="98"/>
      <c r="R43" s="98"/>
      <c r="S43" s="99"/>
      <c r="T43" s="100" t="s">
        <v>52</v>
      </c>
      <c r="U43" s="101"/>
      <c r="V43" s="102"/>
    </row>
    <row r="44" spans="1:25" ht="23.15" customHeight="1">
      <c r="B44" s="35">
        <v>14</v>
      </c>
      <c r="C44" s="117" t="s">
        <v>56</v>
      </c>
      <c r="D44" s="118"/>
      <c r="E44" s="118"/>
      <c r="F44" s="118"/>
      <c r="G44" s="118"/>
      <c r="H44" s="118"/>
      <c r="I44" s="118"/>
      <c r="J44" s="118"/>
      <c r="K44" s="119"/>
      <c r="L44" s="45" t="str">
        <f>+IF(T21&lt;7800000,VLOOKUP(P15,Table1[[#All],[ACT_ECONOMICA]:[TET DE 7.8M HASTA 15.6M]],2,FALSE),VLOOKUP(P15,Table1[[#All],[ACT_ECONOMICA]:[TET DE 7.8M HASTA 15.6M]],3,FALSE))</f>
        <v>0.61</v>
      </c>
      <c r="M44" s="117" t="s">
        <v>436</v>
      </c>
      <c r="N44" s="118"/>
      <c r="O44" s="118"/>
      <c r="P44" s="118"/>
      <c r="Q44" s="118"/>
      <c r="R44" s="119"/>
      <c r="S44" s="36" t="s">
        <v>434</v>
      </c>
      <c r="T44" s="137">
        <f>+T21*(L44/100)</f>
        <v>0</v>
      </c>
      <c r="U44" s="138"/>
      <c r="V44" s="139"/>
      <c r="X44" s="46"/>
      <c r="Y44" s="46"/>
    </row>
    <row r="45" spans="1:25" ht="23.15" customHeight="1">
      <c r="B45" s="35">
        <v>15</v>
      </c>
      <c r="C45" s="91" t="s">
        <v>441</v>
      </c>
      <c r="D45" s="92"/>
      <c r="E45" s="92"/>
      <c r="F45" s="92"/>
      <c r="G45" s="92"/>
      <c r="H45" s="92"/>
      <c r="I45" s="92"/>
      <c r="J45" s="92"/>
      <c r="K45" s="92"/>
      <c r="L45" s="92"/>
      <c r="M45" s="92"/>
      <c r="N45" s="92"/>
      <c r="O45" s="92"/>
      <c r="P45" s="92"/>
      <c r="Q45" s="92"/>
      <c r="R45" s="93"/>
      <c r="S45" s="37" t="s">
        <v>434</v>
      </c>
      <c r="T45" s="137">
        <f>IF(F15="Jurídica",T35*27%,(ABS(IF(AND(T35&lt;=0,416220&gt;0),0,IF(AND(T35&lt;=208109,416220&gt;0),0.15*T35,IF(AND(T35&lt;=450903,416220&gt;0),31216.35 +(0.2*(T35-208109)),IF(AND(T35&gt;=450903,416220&gt;0), 79775.15 +(0.25*(T35-450903)),IF(T35&lt;=624329,0.15*T35,IF(T35&lt;=867123,93649.35 +(0.2*(T35-624329)),IF(T35&gt;867123, 142208.15 +(0.25*(T35-867123))))))))))))</f>
        <v>0</v>
      </c>
      <c r="U45" s="138"/>
      <c r="V45" s="139"/>
    </row>
    <row r="46" spans="1:25" ht="23.15" customHeight="1">
      <c r="B46" s="35">
        <v>16</v>
      </c>
      <c r="C46" s="91" t="s">
        <v>442</v>
      </c>
      <c r="D46" s="92"/>
      <c r="E46" s="92"/>
      <c r="F46" s="92"/>
      <c r="G46" s="92"/>
      <c r="H46" s="92"/>
      <c r="I46" s="92"/>
      <c r="J46" s="92"/>
      <c r="K46" s="92"/>
      <c r="L46" s="92"/>
      <c r="M46" s="92"/>
      <c r="N46" s="92"/>
      <c r="O46" s="92"/>
      <c r="P46" s="92"/>
      <c r="Q46" s="92"/>
      <c r="R46" s="93"/>
      <c r="S46" s="37" t="s">
        <v>434</v>
      </c>
      <c r="T46" s="137">
        <f>IF(F15="Jurídica",(T38*0.27),(T38*0.25))</f>
        <v>0</v>
      </c>
      <c r="U46" s="138"/>
      <c r="V46" s="139"/>
    </row>
    <row r="47" spans="1:25" ht="24.75" customHeight="1">
      <c r="B47" s="35">
        <v>17</v>
      </c>
      <c r="C47" s="91" t="s">
        <v>480</v>
      </c>
      <c r="D47" s="92"/>
      <c r="E47" s="92"/>
      <c r="F47" s="92"/>
      <c r="G47" s="92"/>
      <c r="H47" s="92"/>
      <c r="I47" s="92"/>
      <c r="J47" s="92"/>
      <c r="K47" s="92"/>
      <c r="L47" s="92"/>
      <c r="M47" s="92"/>
      <c r="N47" s="92"/>
      <c r="O47" s="92"/>
      <c r="P47" s="92"/>
      <c r="Q47" s="92"/>
      <c r="R47" s="93"/>
      <c r="S47" s="37" t="s">
        <v>433</v>
      </c>
      <c r="T47" s="137">
        <v>0</v>
      </c>
      <c r="U47" s="138"/>
      <c r="V47" s="139"/>
    </row>
    <row r="48" spans="1:25" ht="23.15" customHeight="1">
      <c r="B48" s="47">
        <v>18</v>
      </c>
      <c r="C48" s="94" t="s">
        <v>475</v>
      </c>
      <c r="D48" s="95"/>
      <c r="E48" s="95"/>
      <c r="F48" s="95"/>
      <c r="G48" s="95"/>
      <c r="H48" s="95"/>
      <c r="I48" s="95"/>
      <c r="J48" s="95"/>
      <c r="K48" s="95"/>
      <c r="L48" s="95"/>
      <c r="M48" s="95"/>
      <c r="N48" s="95"/>
      <c r="O48" s="95"/>
      <c r="P48" s="95"/>
      <c r="Q48" s="95"/>
      <c r="R48" s="96"/>
      <c r="S48" s="48" t="s">
        <v>434</v>
      </c>
      <c r="T48" s="106">
        <f>(T44+T45+T46+T47)</f>
        <v>0</v>
      </c>
      <c r="U48" s="107"/>
      <c r="V48" s="108"/>
    </row>
    <row r="49" spans="2:26" ht="23.15" customHeight="1">
      <c r="B49" s="35">
        <v>19</v>
      </c>
      <c r="C49" s="91" t="s">
        <v>443</v>
      </c>
      <c r="D49" s="92"/>
      <c r="E49" s="92"/>
      <c r="F49" s="92"/>
      <c r="G49" s="92"/>
      <c r="H49" s="92"/>
      <c r="I49" s="92"/>
      <c r="J49" s="92"/>
      <c r="K49" s="92"/>
      <c r="L49" s="92"/>
      <c r="M49" s="92"/>
      <c r="N49" s="92"/>
      <c r="O49" s="92"/>
      <c r="P49" s="92"/>
      <c r="Q49" s="92"/>
      <c r="R49" s="93"/>
      <c r="S49" s="37" t="s">
        <v>435</v>
      </c>
      <c r="T49" s="145">
        <v>0</v>
      </c>
      <c r="U49" s="145"/>
      <c r="V49" s="146"/>
      <c r="X49" s="49"/>
    </row>
    <row r="50" spans="2:26" ht="23.15" customHeight="1">
      <c r="B50" s="35">
        <v>20</v>
      </c>
      <c r="C50" s="91" t="s">
        <v>57</v>
      </c>
      <c r="D50" s="92"/>
      <c r="E50" s="92"/>
      <c r="F50" s="92"/>
      <c r="G50" s="92"/>
      <c r="H50" s="92"/>
      <c r="I50" s="92"/>
      <c r="J50" s="92"/>
      <c r="K50" s="92"/>
      <c r="L50" s="92"/>
      <c r="M50" s="92"/>
      <c r="N50" s="92"/>
      <c r="O50" s="92"/>
      <c r="P50" s="92"/>
      <c r="Q50" s="92"/>
      <c r="R50" s="93"/>
      <c r="S50" s="37" t="s">
        <v>435</v>
      </c>
      <c r="T50" s="145">
        <v>0</v>
      </c>
      <c r="U50" s="145"/>
      <c r="V50" s="146"/>
      <c r="X50" s="49"/>
    </row>
    <row r="51" spans="2:26" ht="23.15" customHeight="1">
      <c r="B51" s="35">
        <v>21</v>
      </c>
      <c r="C51" s="91" t="s">
        <v>58</v>
      </c>
      <c r="D51" s="92"/>
      <c r="E51" s="92"/>
      <c r="F51" s="92"/>
      <c r="G51" s="92"/>
      <c r="H51" s="92"/>
      <c r="I51" s="92"/>
      <c r="J51" s="92"/>
      <c r="K51" s="92"/>
      <c r="L51" s="92"/>
      <c r="M51" s="92"/>
      <c r="N51" s="92"/>
      <c r="O51" s="92"/>
      <c r="P51" s="92"/>
      <c r="Q51" s="92"/>
      <c r="R51" s="93"/>
      <c r="S51" s="37" t="s">
        <v>435</v>
      </c>
      <c r="T51" s="133">
        <v>0</v>
      </c>
      <c r="U51" s="133"/>
      <c r="V51" s="134"/>
      <c r="X51" s="49"/>
    </row>
    <row r="52" spans="2:26" ht="23.15" customHeight="1">
      <c r="B52" s="35">
        <v>22</v>
      </c>
      <c r="C52" s="91" t="s">
        <v>59</v>
      </c>
      <c r="D52" s="92"/>
      <c r="E52" s="92"/>
      <c r="F52" s="92"/>
      <c r="G52" s="92"/>
      <c r="H52" s="92"/>
      <c r="I52" s="92"/>
      <c r="J52" s="92"/>
      <c r="K52" s="92"/>
      <c r="L52" s="92"/>
      <c r="M52" s="92"/>
      <c r="N52" s="92"/>
      <c r="O52" s="92"/>
      <c r="P52" s="92"/>
      <c r="Q52" s="92"/>
      <c r="R52" s="93"/>
      <c r="S52" s="37" t="s">
        <v>435</v>
      </c>
      <c r="T52" s="131">
        <v>0</v>
      </c>
      <c r="U52" s="131"/>
      <c r="V52" s="132"/>
      <c r="W52" s="40"/>
      <c r="X52" s="49"/>
    </row>
    <row r="53" spans="2:26" ht="23.15" customHeight="1">
      <c r="B53" s="47">
        <v>23</v>
      </c>
      <c r="C53" s="94" t="s">
        <v>476</v>
      </c>
      <c r="D53" s="95"/>
      <c r="E53" s="95"/>
      <c r="F53" s="95"/>
      <c r="G53" s="95"/>
      <c r="H53" s="95"/>
      <c r="I53" s="95"/>
      <c r="J53" s="95"/>
      <c r="K53" s="95"/>
      <c r="L53" s="95"/>
      <c r="M53" s="95"/>
      <c r="N53" s="95"/>
      <c r="O53" s="95"/>
      <c r="P53" s="95"/>
      <c r="Q53" s="95"/>
      <c r="R53" s="96"/>
      <c r="S53" s="48" t="s">
        <v>434</v>
      </c>
      <c r="T53" s="149">
        <f>IF(+T48-T49-T50-T51-T52&lt;0,0,+T48-T49-T50-T51-T52)</f>
        <v>0</v>
      </c>
      <c r="U53" s="149"/>
      <c r="V53" s="150"/>
      <c r="X53" s="49"/>
    </row>
    <row r="54" spans="2:26" ht="23.15" customHeight="1">
      <c r="B54" s="35">
        <v>24</v>
      </c>
      <c r="C54" s="91" t="s">
        <v>439</v>
      </c>
      <c r="D54" s="92"/>
      <c r="E54" s="92"/>
      <c r="F54" s="92"/>
      <c r="G54" s="92"/>
      <c r="H54" s="92"/>
      <c r="I54" s="92"/>
      <c r="J54" s="92"/>
      <c r="K54" s="93"/>
      <c r="L54" s="8"/>
      <c r="M54" s="91"/>
      <c r="N54" s="92"/>
      <c r="O54" s="92"/>
      <c r="P54" s="92"/>
      <c r="Q54" s="92"/>
      <c r="R54" s="93"/>
      <c r="S54" s="37" t="s">
        <v>433</v>
      </c>
      <c r="T54" s="151">
        <v>0</v>
      </c>
      <c r="U54" s="151"/>
      <c r="V54" s="152"/>
      <c r="W54" s="40"/>
      <c r="X54" s="49"/>
    </row>
    <row r="55" spans="2:26" ht="23.15" customHeight="1">
      <c r="B55" s="35">
        <v>25</v>
      </c>
      <c r="C55" s="91" t="s">
        <v>55</v>
      </c>
      <c r="D55" s="92"/>
      <c r="E55" s="92"/>
      <c r="F55" s="92"/>
      <c r="G55" s="92"/>
      <c r="H55" s="92"/>
      <c r="I55" s="92"/>
      <c r="J55" s="92"/>
      <c r="K55" s="93"/>
      <c r="L55" s="8"/>
      <c r="M55" s="91"/>
      <c r="N55" s="92"/>
      <c r="O55" s="92"/>
      <c r="P55" s="92"/>
      <c r="Q55" s="92"/>
      <c r="R55" s="93"/>
      <c r="S55" s="37" t="s">
        <v>433</v>
      </c>
      <c r="T55" s="147">
        <v>0</v>
      </c>
      <c r="U55" s="147"/>
      <c r="V55" s="148"/>
      <c r="X55" s="49"/>
    </row>
    <row r="56" spans="2:26" ht="23.15" customHeight="1">
      <c r="B56" s="35">
        <v>26</v>
      </c>
      <c r="C56" s="91" t="s">
        <v>440</v>
      </c>
      <c r="D56" s="92"/>
      <c r="E56" s="92"/>
      <c r="F56" s="92"/>
      <c r="G56" s="92"/>
      <c r="H56" s="92"/>
      <c r="I56" s="92"/>
      <c r="J56" s="92"/>
      <c r="K56" s="93"/>
      <c r="L56" s="8"/>
      <c r="M56" s="91" t="s">
        <v>477</v>
      </c>
      <c r="N56" s="92"/>
      <c r="O56" s="92"/>
      <c r="P56" s="92"/>
      <c r="Q56" s="92"/>
      <c r="R56" s="93"/>
      <c r="S56" s="37" t="s">
        <v>433</v>
      </c>
      <c r="T56" s="151">
        <v>0</v>
      </c>
      <c r="U56" s="151"/>
      <c r="V56" s="152"/>
      <c r="W56" s="40"/>
      <c r="X56" s="49"/>
    </row>
    <row r="57" spans="2:26" ht="23.15" customHeight="1">
      <c r="B57" s="35">
        <v>27</v>
      </c>
      <c r="C57" s="91" t="s">
        <v>34</v>
      </c>
      <c r="D57" s="92"/>
      <c r="E57" s="92"/>
      <c r="F57" s="92"/>
      <c r="G57" s="92"/>
      <c r="H57" s="92"/>
      <c r="I57" s="92"/>
      <c r="J57" s="92"/>
      <c r="K57" s="93"/>
      <c r="L57" s="8"/>
      <c r="M57" s="91" t="s">
        <v>477</v>
      </c>
      <c r="N57" s="92"/>
      <c r="O57" s="92"/>
      <c r="P57" s="92"/>
      <c r="Q57" s="92"/>
      <c r="R57" s="93"/>
      <c r="S57" s="37" t="s">
        <v>433</v>
      </c>
      <c r="T57" s="147">
        <v>0</v>
      </c>
      <c r="U57" s="147"/>
      <c r="V57" s="148"/>
      <c r="X57" s="49"/>
    </row>
    <row r="58" spans="2:26" ht="23.15" customHeight="1" thickBot="1">
      <c r="B58" s="38">
        <v>28</v>
      </c>
      <c r="C58" s="120" t="s">
        <v>478</v>
      </c>
      <c r="D58" s="121"/>
      <c r="E58" s="121"/>
      <c r="F58" s="121"/>
      <c r="G58" s="121"/>
      <c r="H58" s="121"/>
      <c r="I58" s="121"/>
      <c r="J58" s="121"/>
      <c r="K58" s="121"/>
      <c r="L58" s="121"/>
      <c r="M58" s="121"/>
      <c r="N58" s="121"/>
      <c r="O58" s="121"/>
      <c r="P58" s="121"/>
      <c r="Q58" s="121"/>
      <c r="R58" s="122"/>
      <c r="S58" s="39" t="s">
        <v>434</v>
      </c>
      <c r="T58" s="129">
        <f>T53+T54+T55+T56+T57</f>
        <v>0</v>
      </c>
      <c r="U58" s="129"/>
      <c r="V58" s="130"/>
    </row>
    <row r="59" spans="2:26" ht="23.15" customHeight="1" thickBot="1"/>
    <row r="60" spans="2:26" s="22" customFormat="1" ht="23.15" customHeight="1">
      <c r="B60" s="140" t="s">
        <v>431</v>
      </c>
      <c r="C60" s="141"/>
      <c r="D60" s="141"/>
      <c r="E60" s="141"/>
      <c r="F60" s="141"/>
      <c r="G60" s="141"/>
      <c r="H60" s="141"/>
      <c r="I60" s="141"/>
      <c r="J60" s="141"/>
      <c r="K60" s="141"/>
      <c r="L60" s="141"/>
      <c r="M60" s="141"/>
      <c r="N60" s="141"/>
      <c r="O60" s="142"/>
      <c r="P60" s="50" t="s">
        <v>432</v>
      </c>
      <c r="Q60" s="50"/>
      <c r="R60" s="50"/>
      <c r="S60" s="50"/>
      <c r="T60" s="50"/>
      <c r="U60" s="50"/>
      <c r="V60" s="51"/>
      <c r="W60" s="52"/>
      <c r="X60" s="53"/>
      <c r="Y60" s="53"/>
      <c r="Z60" s="53"/>
    </row>
    <row r="61" spans="2:26" s="22" customFormat="1" ht="23.15" customHeight="1">
      <c r="B61" s="54"/>
      <c r="C61" s="55"/>
      <c r="D61" s="55"/>
      <c r="E61" s="55"/>
      <c r="F61" s="55"/>
      <c r="G61" s="55"/>
      <c r="H61" s="55"/>
      <c r="I61" s="55"/>
      <c r="J61" s="55"/>
      <c r="K61" s="55"/>
      <c r="L61" s="55"/>
      <c r="M61" s="55"/>
      <c r="N61" s="55"/>
      <c r="O61" s="56"/>
      <c r="P61" s="143"/>
      <c r="Q61" s="143"/>
      <c r="R61" s="143"/>
      <c r="S61" s="143"/>
      <c r="T61" s="143"/>
      <c r="U61" s="143"/>
      <c r="V61" s="144"/>
      <c r="W61" s="52"/>
      <c r="X61" s="53"/>
      <c r="Y61" s="53"/>
      <c r="Z61" s="53"/>
    </row>
    <row r="62" spans="2:26" ht="23.15" customHeight="1">
      <c r="B62" s="57"/>
      <c r="C62" s="58" t="s">
        <v>7</v>
      </c>
      <c r="D62" s="165"/>
      <c r="E62" s="165"/>
      <c r="F62" s="165"/>
      <c r="G62" s="165"/>
      <c r="H62" s="165"/>
      <c r="I62" s="165"/>
      <c r="J62" s="165"/>
      <c r="K62" s="165"/>
      <c r="L62" s="165"/>
      <c r="M62" s="165"/>
      <c r="N62" s="165"/>
      <c r="O62" s="59"/>
      <c r="P62" s="166" t="s">
        <v>6</v>
      </c>
      <c r="Q62" s="166"/>
      <c r="R62" s="166"/>
      <c r="S62" s="166"/>
      <c r="T62" s="166"/>
      <c r="U62" s="166"/>
      <c r="V62" s="167"/>
      <c r="W62" s="10"/>
      <c r="X62" s="153"/>
      <c r="Y62" s="153"/>
      <c r="Z62" s="153"/>
    </row>
    <row r="63" spans="2:26" ht="23.15" customHeight="1">
      <c r="B63" s="60"/>
      <c r="C63" s="154" t="s">
        <v>17</v>
      </c>
      <c r="D63" s="154"/>
      <c r="E63" s="155"/>
      <c r="F63" s="155"/>
      <c r="G63" s="155"/>
      <c r="H63" s="155"/>
      <c r="I63" s="155"/>
      <c r="J63" s="155"/>
      <c r="K63" s="155"/>
      <c r="L63" s="156" t="s">
        <v>8</v>
      </c>
      <c r="M63" s="156"/>
      <c r="N63" s="156"/>
      <c r="O63" s="61"/>
      <c r="P63" s="166"/>
      <c r="Q63" s="166"/>
      <c r="R63" s="166"/>
      <c r="S63" s="166"/>
      <c r="T63" s="166"/>
      <c r="U63" s="166"/>
      <c r="V63" s="167"/>
      <c r="W63" s="62"/>
      <c r="X63" s="153"/>
      <c r="Y63" s="153"/>
      <c r="Z63" s="153"/>
    </row>
    <row r="64" spans="2:26" ht="25.5" customHeight="1">
      <c r="B64" s="63"/>
      <c r="C64" s="157" t="s">
        <v>9</v>
      </c>
      <c r="D64" s="157"/>
      <c r="E64" s="157"/>
      <c r="F64" s="157"/>
      <c r="G64" s="157"/>
      <c r="H64" s="157"/>
      <c r="I64" s="157"/>
      <c r="J64" s="157"/>
      <c r="K64" s="157"/>
      <c r="L64" s="157"/>
      <c r="M64" s="157"/>
      <c r="N64" s="157"/>
      <c r="O64" s="64"/>
      <c r="P64" s="166"/>
      <c r="Q64" s="166"/>
      <c r="R64" s="166"/>
      <c r="S64" s="166"/>
      <c r="T64" s="166"/>
      <c r="U64" s="166"/>
      <c r="V64" s="167"/>
      <c r="W64" s="65"/>
      <c r="X64" s="153"/>
      <c r="Y64" s="153"/>
      <c r="Z64" s="153"/>
    </row>
    <row r="65" spans="2:26" ht="23.15" customHeight="1">
      <c r="B65" s="63"/>
      <c r="C65" s="157"/>
      <c r="D65" s="157"/>
      <c r="E65" s="157"/>
      <c r="F65" s="157"/>
      <c r="G65" s="157"/>
      <c r="H65" s="157"/>
      <c r="I65" s="157"/>
      <c r="J65" s="157"/>
      <c r="K65" s="157"/>
      <c r="L65" s="157"/>
      <c r="M65" s="157"/>
      <c r="N65" s="157"/>
      <c r="O65" s="64"/>
      <c r="P65" s="166"/>
      <c r="Q65" s="166"/>
      <c r="R65" s="166"/>
      <c r="S65" s="166"/>
      <c r="T65" s="166"/>
      <c r="U65" s="166"/>
      <c r="V65" s="167"/>
      <c r="W65" s="66"/>
      <c r="X65" s="153"/>
      <c r="Y65" s="153"/>
      <c r="Z65" s="153"/>
    </row>
    <row r="66" spans="2:26" ht="22.5" customHeight="1">
      <c r="B66" s="63"/>
      <c r="C66" s="157"/>
      <c r="D66" s="157"/>
      <c r="E66" s="157"/>
      <c r="F66" s="157"/>
      <c r="G66" s="157"/>
      <c r="H66" s="157"/>
      <c r="I66" s="157"/>
      <c r="J66" s="157"/>
      <c r="K66" s="157"/>
      <c r="L66" s="157"/>
      <c r="M66" s="157"/>
      <c r="N66" s="157"/>
      <c r="O66" s="64"/>
      <c r="P66" s="166"/>
      <c r="Q66" s="166"/>
      <c r="R66" s="166"/>
      <c r="S66" s="166"/>
      <c r="T66" s="166"/>
      <c r="U66" s="166"/>
      <c r="V66" s="167"/>
      <c r="W66" s="10"/>
      <c r="X66" s="153"/>
      <c r="Y66" s="153"/>
      <c r="Z66" s="153"/>
    </row>
    <row r="67" spans="2:26" ht="12.75" customHeight="1">
      <c r="B67" s="63"/>
      <c r="C67" s="157"/>
      <c r="D67" s="157"/>
      <c r="E67" s="157"/>
      <c r="F67" s="157"/>
      <c r="G67" s="157"/>
      <c r="H67" s="157"/>
      <c r="I67" s="157"/>
      <c r="J67" s="157"/>
      <c r="K67" s="157"/>
      <c r="L67" s="157"/>
      <c r="M67" s="157"/>
      <c r="N67" s="157"/>
      <c r="O67" s="67"/>
      <c r="P67" s="166"/>
      <c r="Q67" s="166"/>
      <c r="R67" s="166"/>
      <c r="S67" s="166"/>
      <c r="T67" s="166"/>
      <c r="U67" s="166"/>
      <c r="V67" s="167"/>
      <c r="W67" s="62"/>
      <c r="X67" s="153"/>
      <c r="Y67" s="153"/>
      <c r="Z67" s="153"/>
    </row>
    <row r="68" spans="2:26" ht="23.15" customHeight="1">
      <c r="B68" s="63"/>
      <c r="C68" s="68"/>
      <c r="D68" s="68"/>
      <c r="E68" s="68"/>
      <c r="F68" s="68"/>
      <c r="G68" s="68"/>
      <c r="H68" s="68"/>
      <c r="I68" s="68"/>
      <c r="J68" s="68"/>
      <c r="K68" s="68"/>
      <c r="L68" s="68"/>
      <c r="M68" s="69"/>
      <c r="O68" s="61"/>
      <c r="Q68" s="161"/>
      <c r="R68" s="161"/>
      <c r="S68" s="161"/>
      <c r="T68" s="161"/>
      <c r="U68" s="161"/>
      <c r="V68" s="70"/>
      <c r="W68" s="71"/>
      <c r="X68" s="153"/>
      <c r="Y68" s="153"/>
      <c r="Z68" s="153"/>
    </row>
    <row r="69" spans="2:26" ht="23.15" customHeight="1">
      <c r="B69" s="63"/>
      <c r="C69" s="162"/>
      <c r="D69" s="162"/>
      <c r="E69" s="162"/>
      <c r="F69" s="72"/>
      <c r="G69" s="73"/>
      <c r="H69" s="162"/>
      <c r="I69" s="162"/>
      <c r="J69" s="162"/>
      <c r="K69" s="162"/>
      <c r="L69" s="162"/>
      <c r="M69" s="162"/>
      <c r="N69" s="162"/>
      <c r="O69" s="61"/>
      <c r="Q69" s="163" t="s">
        <v>15</v>
      </c>
      <c r="R69" s="163"/>
      <c r="S69" s="163"/>
      <c r="T69" s="163"/>
      <c r="U69" s="163"/>
      <c r="V69" s="70"/>
      <c r="W69" s="74"/>
      <c r="X69" s="153"/>
      <c r="Y69" s="153"/>
      <c r="Z69" s="153"/>
    </row>
    <row r="70" spans="2:26" ht="23.15" customHeight="1" thickBot="1">
      <c r="B70" s="75"/>
      <c r="C70" s="164" t="s">
        <v>10</v>
      </c>
      <c r="D70" s="164"/>
      <c r="E70" s="164"/>
      <c r="F70" s="76"/>
      <c r="G70" s="77"/>
      <c r="H70" s="164" t="s">
        <v>11</v>
      </c>
      <c r="I70" s="164"/>
      <c r="J70" s="164"/>
      <c r="K70" s="164"/>
      <c r="L70" s="164"/>
      <c r="M70" s="164"/>
      <c r="N70" s="164"/>
      <c r="O70" s="78"/>
      <c r="P70" s="79"/>
      <c r="Q70" s="79"/>
      <c r="R70" s="79"/>
      <c r="S70" s="79"/>
      <c r="T70" s="79"/>
      <c r="U70" s="79"/>
      <c r="V70" s="80"/>
      <c r="W70" s="81"/>
      <c r="X70" s="153"/>
      <c r="Y70" s="153"/>
      <c r="Z70" s="153"/>
    </row>
    <row r="71" spans="2:26" ht="20.5">
      <c r="B71" s="82"/>
      <c r="C71" s="158"/>
      <c r="D71" s="158"/>
      <c r="E71" s="158"/>
      <c r="F71" s="83"/>
      <c r="G71" s="83"/>
      <c r="H71" s="159"/>
      <c r="I71" s="159"/>
      <c r="J71" s="159"/>
      <c r="K71" s="159"/>
      <c r="L71" s="83"/>
      <c r="M71" s="83"/>
      <c r="N71" s="82"/>
      <c r="O71" s="82"/>
      <c r="P71" s="11"/>
      <c r="Q71" s="84"/>
      <c r="R71" s="84"/>
      <c r="S71" s="85"/>
      <c r="T71" s="85"/>
      <c r="U71" s="84"/>
      <c r="V71" s="84"/>
      <c r="W71" s="84"/>
      <c r="X71" s="153"/>
      <c r="Y71" s="153"/>
      <c r="Z71" s="153"/>
    </row>
    <row r="72" spans="2:26" ht="18.75" customHeight="1">
      <c r="B72" s="86"/>
      <c r="C72" s="160"/>
      <c r="D72" s="160"/>
      <c r="E72" s="160"/>
      <c r="F72" s="87"/>
      <c r="G72" s="160"/>
      <c r="H72" s="160"/>
      <c r="I72" s="160"/>
      <c r="J72" s="160"/>
      <c r="K72" s="160"/>
      <c r="L72" s="87"/>
      <c r="M72" s="87"/>
      <c r="N72" s="88"/>
      <c r="O72" s="88"/>
      <c r="P72" s="11"/>
      <c r="Q72" s="89"/>
      <c r="R72" s="89"/>
      <c r="S72" s="89"/>
      <c r="T72" s="89"/>
      <c r="U72" s="89"/>
      <c r="V72" s="89"/>
      <c r="W72" s="89"/>
      <c r="X72" s="153"/>
      <c r="Y72" s="153"/>
      <c r="Z72" s="153"/>
    </row>
    <row r="88"/>
  </sheetData>
  <sheetProtection algorithmName="SHA-512" hashValue="lhjUw59mjqJKYu3cSYXHob1RGaV7q1ZGhyAyBRmz0nHBGpNxuBcGCsgpt4wHUuW7ro7c+V3IRZVLPW+0TqhQjg==" saltValue="0LtQBhlXciCMyXLeNeX8KQ==" spinCount="100000" sheet="1" objects="1" scenarios="1" selectLockedCells="1"/>
  <mergeCells count="124">
    <mergeCell ref="U3:V3"/>
    <mergeCell ref="U4:V4"/>
    <mergeCell ref="G5:S5"/>
    <mergeCell ref="R7:T7"/>
    <mergeCell ref="U7:V7"/>
    <mergeCell ref="C15:E15"/>
    <mergeCell ref="F15:I15"/>
    <mergeCell ref="L15:O15"/>
    <mergeCell ref="P15:U15"/>
    <mergeCell ref="G4:T4"/>
    <mergeCell ref="C9:V9"/>
    <mergeCell ref="C11:E11"/>
    <mergeCell ref="F11:I11"/>
    <mergeCell ref="L11:O11"/>
    <mergeCell ref="P11:U11"/>
    <mergeCell ref="C13:E13"/>
    <mergeCell ref="F13:I13"/>
    <mergeCell ref="L13:O13"/>
    <mergeCell ref="P13:U13"/>
    <mergeCell ref="B7:D7"/>
    <mergeCell ref="B10:B18"/>
    <mergeCell ref="C17:E17"/>
    <mergeCell ref="F17:I17"/>
    <mergeCell ref="L17:O17"/>
    <mergeCell ref="R17:S17"/>
    <mergeCell ref="T24:V24"/>
    <mergeCell ref="A19:W19"/>
    <mergeCell ref="C20:S20"/>
    <mergeCell ref="T20:V20"/>
    <mergeCell ref="T21:V21"/>
    <mergeCell ref="R18:S18"/>
    <mergeCell ref="C21:R21"/>
    <mergeCell ref="C24:R24"/>
    <mergeCell ref="A22:W22"/>
    <mergeCell ref="C23:S23"/>
    <mergeCell ref="T23:V23"/>
    <mergeCell ref="C56:K56"/>
    <mergeCell ref="C58:R58"/>
    <mergeCell ref="X62:Z72"/>
    <mergeCell ref="C63:D63"/>
    <mergeCell ref="E63:K63"/>
    <mergeCell ref="L63:N63"/>
    <mergeCell ref="C64:N67"/>
    <mergeCell ref="C71:E71"/>
    <mergeCell ref="H71:K71"/>
    <mergeCell ref="C72:E72"/>
    <mergeCell ref="G72:K72"/>
    <mergeCell ref="Q68:U68"/>
    <mergeCell ref="C69:E69"/>
    <mergeCell ref="H69:N69"/>
    <mergeCell ref="Q69:U69"/>
    <mergeCell ref="C70:E70"/>
    <mergeCell ref="H70:N70"/>
    <mergeCell ref="D62:N62"/>
    <mergeCell ref="P62:V67"/>
    <mergeCell ref="C47:R47"/>
    <mergeCell ref="T45:V45"/>
    <mergeCell ref="B60:O60"/>
    <mergeCell ref="P61:V61"/>
    <mergeCell ref="A42:W42"/>
    <mergeCell ref="T49:V49"/>
    <mergeCell ref="T50:V50"/>
    <mergeCell ref="T51:V51"/>
    <mergeCell ref="T52:V52"/>
    <mergeCell ref="T57:V57"/>
    <mergeCell ref="T58:V58"/>
    <mergeCell ref="T53:V53"/>
    <mergeCell ref="C57:K57"/>
    <mergeCell ref="T46:V46"/>
    <mergeCell ref="T44:V44"/>
    <mergeCell ref="C43:S43"/>
    <mergeCell ref="T43:V43"/>
    <mergeCell ref="C44:K44"/>
    <mergeCell ref="T47:V47"/>
    <mergeCell ref="T54:V54"/>
    <mergeCell ref="T55:V55"/>
    <mergeCell ref="T56:V56"/>
    <mergeCell ref="C54:K54"/>
    <mergeCell ref="C55:K55"/>
    <mergeCell ref="C25:R25"/>
    <mergeCell ref="C26:R26"/>
    <mergeCell ref="C27:R27"/>
    <mergeCell ref="C30:R30"/>
    <mergeCell ref="C31:R31"/>
    <mergeCell ref="C32:R32"/>
    <mergeCell ref="C33:R33"/>
    <mergeCell ref="C34:R34"/>
    <mergeCell ref="C35:R35"/>
    <mergeCell ref="A28:W28"/>
    <mergeCell ref="C29:S29"/>
    <mergeCell ref="T29:V29"/>
    <mergeCell ref="T25:V25"/>
    <mergeCell ref="T27:V27"/>
    <mergeCell ref="T26:V26"/>
    <mergeCell ref="T30:V30"/>
    <mergeCell ref="T31:V31"/>
    <mergeCell ref="T32:V32"/>
    <mergeCell ref="T33:V33"/>
    <mergeCell ref="T34:V34"/>
    <mergeCell ref="T35:V35"/>
    <mergeCell ref="A36:W36"/>
    <mergeCell ref="M54:R54"/>
    <mergeCell ref="M55:R55"/>
    <mergeCell ref="M56:R56"/>
    <mergeCell ref="M57:R57"/>
    <mergeCell ref="C48:R48"/>
    <mergeCell ref="C49:R49"/>
    <mergeCell ref="C50:R50"/>
    <mergeCell ref="C51:R51"/>
    <mergeCell ref="C52:R52"/>
    <mergeCell ref="C53:R53"/>
    <mergeCell ref="C37:S37"/>
    <mergeCell ref="T37:V37"/>
    <mergeCell ref="T38:V38"/>
    <mergeCell ref="T48:V48"/>
    <mergeCell ref="A39:W39"/>
    <mergeCell ref="C40:S40"/>
    <mergeCell ref="T40:V40"/>
    <mergeCell ref="T41:V41"/>
    <mergeCell ref="C38:R38"/>
    <mergeCell ref="C41:R41"/>
    <mergeCell ref="M44:R44"/>
    <mergeCell ref="C45:R45"/>
    <mergeCell ref="C46:R46"/>
  </mergeCells>
  <printOptions horizontalCentered="1"/>
  <pageMargins left="0.23622047244094491" right="0.23622047244094491" top="0.55118110236220474" bottom="0.55118110236220474" header="0.31496062992125984" footer="0.31496062992125984"/>
  <pageSetup scale="60" orientation="portrait" r:id="rId1"/>
  <headerFooter>
    <oddFooter>&amp;RPág. &amp;P de &amp;N</oddFooter>
  </headerFooter>
  <rowBreaks count="2" manualBreakCount="2">
    <brk id="53" max="22" man="1"/>
    <brk id="71" max="24" man="1"/>
  </rowBreaks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35628632-CE27-47FF-8D79-28FAD9435019}">
          <x14:formula1>
            <xm:f>'Lista Despegable'!$C$3:$C$4</xm:f>
          </x14:formula1>
          <xm:sqref>F15:I15</xm:sqref>
        </x14:dataValidation>
        <x14:dataValidation type="list" allowBlank="1" showInputMessage="1" showErrorMessage="1" xr:uid="{CF9766FF-523F-457D-80BE-053E8D9C4190}">
          <x14:formula1>
            <xm:f>'Lista Despegable'!$A$3:$A$11</xm:f>
          </x14:formula1>
          <xm:sqref>F17:I17</xm:sqref>
        </x14:dataValidation>
        <x14:dataValidation type="list" allowBlank="1" showInputMessage="1" showErrorMessage="1" xr:uid="{2AD25BEC-1042-4B46-8EE4-78D3B18C56F8}">
          <x14:formula1>
            <xm:f>'Lista Despegable'!$F$3:$F$182</xm:f>
          </x14:formula1>
          <xm:sqref>P15:U15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24B20-20EC-4FC6-B3D7-54B45ED54578}">
  <dimension ref="A2:H182"/>
  <sheetViews>
    <sheetView topLeftCell="B1" workbookViewId="0">
      <selection activeCell="F3" sqref="F3"/>
    </sheetView>
  </sheetViews>
  <sheetFormatPr defaultRowHeight="14.5"/>
  <cols>
    <col min="1" max="1" width="27.81640625" customWidth="1"/>
    <col min="2" max="2" width="4.54296875" customWidth="1"/>
    <col min="3" max="3" width="25" customWidth="1"/>
    <col min="6" max="6" width="22.453125" customWidth="1"/>
  </cols>
  <sheetData>
    <row r="2" spans="1:8">
      <c r="A2" s="4" t="s">
        <v>43</v>
      </c>
      <c r="C2" s="4" t="s">
        <v>53</v>
      </c>
      <c r="E2" s="6" t="s">
        <v>63</v>
      </c>
      <c r="F2" s="6" t="s">
        <v>64</v>
      </c>
      <c r="G2" s="6" t="s">
        <v>425</v>
      </c>
      <c r="H2" s="6" t="s">
        <v>426</v>
      </c>
    </row>
    <row r="3" spans="1:8">
      <c r="A3" s="3" t="s">
        <v>49</v>
      </c>
      <c r="C3" s="3" t="s">
        <v>36</v>
      </c>
      <c r="E3" s="7" t="s">
        <v>417</v>
      </c>
      <c r="F3" s="7" t="s">
        <v>418</v>
      </c>
      <c r="G3" s="7" t="s">
        <v>445</v>
      </c>
      <c r="H3" s="7" t="s">
        <v>446</v>
      </c>
    </row>
    <row r="4" spans="1:8">
      <c r="A4" s="3" t="s">
        <v>50</v>
      </c>
      <c r="C4" s="3" t="s">
        <v>42</v>
      </c>
      <c r="E4" s="7" t="s">
        <v>119</v>
      </c>
      <c r="F4" s="7" t="s">
        <v>120</v>
      </c>
      <c r="G4" s="7" t="s">
        <v>447</v>
      </c>
      <c r="H4" s="7" t="s">
        <v>448</v>
      </c>
    </row>
    <row r="5" spans="1:8">
      <c r="A5" s="3" t="s">
        <v>45</v>
      </c>
      <c r="E5" s="7" t="s">
        <v>407</v>
      </c>
      <c r="F5" s="7" t="s">
        <v>408</v>
      </c>
      <c r="G5" s="7" t="s">
        <v>447</v>
      </c>
      <c r="H5" s="7" t="s">
        <v>448</v>
      </c>
    </row>
    <row r="6" spans="1:8">
      <c r="A6" s="3" t="s">
        <v>44</v>
      </c>
      <c r="E6" s="7" t="s">
        <v>415</v>
      </c>
      <c r="F6" s="7" t="s">
        <v>416</v>
      </c>
      <c r="G6" s="7" t="s">
        <v>445</v>
      </c>
      <c r="H6" s="7" t="s">
        <v>446</v>
      </c>
    </row>
    <row r="7" spans="1:8">
      <c r="A7" s="3" t="s">
        <v>46</v>
      </c>
      <c r="E7" s="7" t="s">
        <v>423</v>
      </c>
      <c r="F7" s="7" t="s">
        <v>424</v>
      </c>
      <c r="G7" s="7" t="s">
        <v>447</v>
      </c>
      <c r="H7" s="7" t="s">
        <v>448</v>
      </c>
    </row>
    <row r="8" spans="1:8">
      <c r="A8" s="3" t="s">
        <v>12</v>
      </c>
      <c r="E8" s="7" t="s">
        <v>260</v>
      </c>
      <c r="F8" s="7" t="s">
        <v>261</v>
      </c>
      <c r="G8" s="7" t="s">
        <v>449</v>
      </c>
      <c r="H8" s="7" t="s">
        <v>450</v>
      </c>
    </row>
    <row r="9" spans="1:8">
      <c r="A9" s="3" t="s">
        <v>48</v>
      </c>
      <c r="E9" s="7" t="s">
        <v>212</v>
      </c>
      <c r="F9" s="7" t="s">
        <v>213</v>
      </c>
      <c r="G9" s="7" t="s">
        <v>451</v>
      </c>
      <c r="H9" s="7" t="s">
        <v>452</v>
      </c>
    </row>
    <row r="10" spans="1:8">
      <c r="A10" s="3" t="s">
        <v>13</v>
      </c>
      <c r="E10" s="7" t="s">
        <v>411</v>
      </c>
      <c r="F10" s="7" t="s">
        <v>412</v>
      </c>
      <c r="G10" s="7" t="s">
        <v>447</v>
      </c>
      <c r="H10" s="7" t="s">
        <v>448</v>
      </c>
    </row>
    <row r="11" spans="1:8">
      <c r="A11" s="3" t="s">
        <v>47</v>
      </c>
      <c r="E11" s="7" t="s">
        <v>262</v>
      </c>
      <c r="F11" s="7" t="s">
        <v>263</v>
      </c>
      <c r="G11" s="7" t="s">
        <v>453</v>
      </c>
      <c r="H11" s="7" t="s">
        <v>454</v>
      </c>
    </row>
    <row r="12" spans="1:8">
      <c r="E12" s="7" t="s">
        <v>121</v>
      </c>
      <c r="F12" s="7" t="s">
        <v>122</v>
      </c>
      <c r="G12" s="7" t="s">
        <v>453</v>
      </c>
      <c r="H12" s="7" t="s">
        <v>454</v>
      </c>
    </row>
    <row r="13" spans="1:8">
      <c r="E13" s="7" t="s">
        <v>349</v>
      </c>
      <c r="F13" s="7" t="s">
        <v>350</v>
      </c>
      <c r="G13" s="7" t="s">
        <v>453</v>
      </c>
      <c r="H13" s="7" t="s">
        <v>454</v>
      </c>
    </row>
    <row r="14" spans="1:8">
      <c r="E14" s="7" t="s">
        <v>87</v>
      </c>
      <c r="F14" s="7" t="s">
        <v>88</v>
      </c>
      <c r="G14" s="7" t="s">
        <v>453</v>
      </c>
      <c r="H14" s="7" t="s">
        <v>454</v>
      </c>
    </row>
    <row r="15" spans="1:8">
      <c r="E15" s="7" t="s">
        <v>139</v>
      </c>
      <c r="F15" s="7" t="s">
        <v>140</v>
      </c>
      <c r="G15" s="7" t="s">
        <v>446</v>
      </c>
      <c r="H15" s="7" t="s">
        <v>455</v>
      </c>
    </row>
    <row r="16" spans="1:8">
      <c r="E16" s="7" t="s">
        <v>300</v>
      </c>
      <c r="F16" s="7" t="s">
        <v>301</v>
      </c>
      <c r="G16" s="7" t="s">
        <v>446</v>
      </c>
      <c r="H16" s="7" t="s">
        <v>455</v>
      </c>
    </row>
    <row r="17" spans="5:8">
      <c r="E17" s="7" t="s">
        <v>89</v>
      </c>
      <c r="F17" s="7" t="s">
        <v>90</v>
      </c>
      <c r="G17" s="7" t="s">
        <v>446</v>
      </c>
      <c r="H17" s="7" t="s">
        <v>455</v>
      </c>
    </row>
    <row r="18" spans="5:8">
      <c r="E18" s="7" t="s">
        <v>302</v>
      </c>
      <c r="F18" s="7" t="s">
        <v>303</v>
      </c>
      <c r="G18" s="7" t="s">
        <v>450</v>
      </c>
      <c r="H18" s="7" t="s">
        <v>456</v>
      </c>
    </row>
    <row r="19" spans="5:8">
      <c r="E19" s="7" t="s">
        <v>141</v>
      </c>
      <c r="F19" s="7" t="s">
        <v>142</v>
      </c>
      <c r="G19" s="7" t="s">
        <v>450</v>
      </c>
      <c r="H19" s="7" t="s">
        <v>456</v>
      </c>
    </row>
    <row r="20" spans="5:8">
      <c r="E20" s="7" t="s">
        <v>123</v>
      </c>
      <c r="F20" s="7" t="s">
        <v>124</v>
      </c>
      <c r="G20" s="7" t="s">
        <v>457</v>
      </c>
      <c r="H20" s="7" t="s">
        <v>456</v>
      </c>
    </row>
    <row r="21" spans="5:8">
      <c r="E21" s="7" t="s">
        <v>264</v>
      </c>
      <c r="F21" s="7" t="s">
        <v>265</v>
      </c>
      <c r="G21" s="7" t="s">
        <v>449</v>
      </c>
      <c r="H21" s="7" t="s">
        <v>446</v>
      </c>
    </row>
    <row r="22" spans="5:8">
      <c r="E22" s="7" t="s">
        <v>125</v>
      </c>
      <c r="F22" s="7" t="s">
        <v>126</v>
      </c>
      <c r="G22" s="7" t="s">
        <v>449</v>
      </c>
      <c r="H22" s="7" t="s">
        <v>446</v>
      </c>
    </row>
    <row r="23" spans="5:8">
      <c r="E23" s="7" t="s">
        <v>169</v>
      </c>
      <c r="F23" s="7" t="s">
        <v>170</v>
      </c>
      <c r="G23" s="7" t="s">
        <v>449</v>
      </c>
      <c r="H23" s="7" t="s">
        <v>450</v>
      </c>
    </row>
    <row r="24" spans="5:8">
      <c r="E24" s="7" t="s">
        <v>328</v>
      </c>
      <c r="F24" s="7" t="s">
        <v>329</v>
      </c>
      <c r="G24" s="7" t="s">
        <v>453</v>
      </c>
      <c r="H24" s="7" t="s">
        <v>454</v>
      </c>
    </row>
    <row r="25" spans="5:8">
      <c r="E25" s="7" t="s">
        <v>143</v>
      </c>
      <c r="F25" s="7" t="s">
        <v>144</v>
      </c>
      <c r="G25" s="7" t="s">
        <v>453</v>
      </c>
      <c r="H25" s="7" t="s">
        <v>454</v>
      </c>
    </row>
    <row r="26" spans="5:8">
      <c r="E26" s="7" t="s">
        <v>171</v>
      </c>
      <c r="F26" s="7" t="s">
        <v>172</v>
      </c>
      <c r="G26" s="7" t="s">
        <v>458</v>
      </c>
      <c r="H26" s="7" t="s">
        <v>456</v>
      </c>
    </row>
    <row r="27" spans="5:8">
      <c r="E27" s="7" t="s">
        <v>351</v>
      </c>
      <c r="F27" s="7" t="s">
        <v>352</v>
      </c>
      <c r="G27" s="7" t="s">
        <v>449</v>
      </c>
      <c r="H27" s="7" t="s">
        <v>450</v>
      </c>
    </row>
    <row r="28" spans="5:8">
      <c r="E28" s="7" t="s">
        <v>65</v>
      </c>
      <c r="F28" s="7" t="s">
        <v>66</v>
      </c>
      <c r="G28" s="7" t="s">
        <v>450</v>
      </c>
      <c r="H28" s="7" t="s">
        <v>456</v>
      </c>
    </row>
    <row r="29" spans="5:8">
      <c r="E29" s="7" t="s">
        <v>304</v>
      </c>
      <c r="F29" s="7" t="s">
        <v>305</v>
      </c>
      <c r="G29" s="7" t="s">
        <v>446</v>
      </c>
      <c r="H29" s="7" t="s">
        <v>455</v>
      </c>
    </row>
    <row r="30" spans="5:8">
      <c r="E30" s="7" t="s">
        <v>389</v>
      </c>
      <c r="F30" s="7" t="s">
        <v>390</v>
      </c>
      <c r="G30" s="7" t="s">
        <v>447</v>
      </c>
      <c r="H30" s="7" t="s">
        <v>448</v>
      </c>
    </row>
    <row r="31" spans="5:8">
      <c r="E31" s="7" t="s">
        <v>347</v>
      </c>
      <c r="F31" s="7" t="s">
        <v>348</v>
      </c>
      <c r="G31" s="7" t="s">
        <v>453</v>
      </c>
      <c r="H31" s="7" t="s">
        <v>454</v>
      </c>
    </row>
    <row r="32" spans="5:8">
      <c r="E32" s="7" t="s">
        <v>381</v>
      </c>
      <c r="F32" s="7" t="s">
        <v>382</v>
      </c>
      <c r="G32" s="7" t="s">
        <v>447</v>
      </c>
      <c r="H32" s="7" t="s">
        <v>448</v>
      </c>
    </row>
    <row r="33" spans="5:8">
      <c r="E33" s="7" t="s">
        <v>387</v>
      </c>
      <c r="F33" s="7" t="s">
        <v>388</v>
      </c>
      <c r="G33" s="7" t="s">
        <v>447</v>
      </c>
      <c r="H33" s="7" t="s">
        <v>448</v>
      </c>
    </row>
    <row r="34" spans="5:8">
      <c r="E34" s="7" t="s">
        <v>393</v>
      </c>
      <c r="F34" s="7" t="s">
        <v>394</v>
      </c>
      <c r="G34" s="7" t="s">
        <v>447</v>
      </c>
      <c r="H34" s="7" t="s">
        <v>448</v>
      </c>
    </row>
    <row r="35" spans="5:8">
      <c r="E35" s="7" t="s">
        <v>67</v>
      </c>
      <c r="F35" s="7" t="s">
        <v>68</v>
      </c>
      <c r="G35" s="7" t="s">
        <v>449</v>
      </c>
      <c r="H35" s="7" t="s">
        <v>450</v>
      </c>
    </row>
    <row r="36" spans="5:8">
      <c r="E36" s="7" t="s">
        <v>391</v>
      </c>
      <c r="F36" s="7" t="s">
        <v>392</v>
      </c>
      <c r="G36" s="7" t="s">
        <v>447</v>
      </c>
      <c r="H36" s="7" t="s">
        <v>448</v>
      </c>
    </row>
    <row r="37" spans="5:8">
      <c r="E37" s="7" t="s">
        <v>385</v>
      </c>
      <c r="F37" s="7" t="s">
        <v>386</v>
      </c>
      <c r="G37" s="7" t="s">
        <v>447</v>
      </c>
      <c r="H37" s="7" t="s">
        <v>448</v>
      </c>
    </row>
    <row r="38" spans="5:8">
      <c r="E38" s="7" t="s">
        <v>365</v>
      </c>
      <c r="F38" s="7" t="s">
        <v>366</v>
      </c>
      <c r="G38" s="7" t="s">
        <v>459</v>
      </c>
      <c r="H38" s="7" t="s">
        <v>455</v>
      </c>
    </row>
    <row r="39" spans="5:8">
      <c r="E39" s="7" t="s">
        <v>173</v>
      </c>
      <c r="F39" s="7" t="s">
        <v>174</v>
      </c>
      <c r="G39" s="7" t="s">
        <v>460</v>
      </c>
      <c r="H39" s="7" t="s">
        <v>445</v>
      </c>
    </row>
    <row r="40" spans="5:8">
      <c r="E40" s="7" t="s">
        <v>145</v>
      </c>
      <c r="F40" s="7" t="s">
        <v>146</v>
      </c>
      <c r="G40" s="7" t="s">
        <v>460</v>
      </c>
      <c r="H40" s="7" t="s">
        <v>445</v>
      </c>
    </row>
    <row r="41" spans="5:8">
      <c r="E41" s="7" t="s">
        <v>91</v>
      </c>
      <c r="F41" s="7" t="s">
        <v>92</v>
      </c>
      <c r="G41" s="7" t="s">
        <v>460</v>
      </c>
      <c r="H41" s="7" t="s">
        <v>445</v>
      </c>
    </row>
    <row r="42" spans="5:8">
      <c r="E42" s="7" t="s">
        <v>214</v>
      </c>
      <c r="F42" s="7" t="s">
        <v>215</v>
      </c>
      <c r="G42" s="7" t="s">
        <v>461</v>
      </c>
      <c r="H42" s="7" t="s">
        <v>453</v>
      </c>
    </row>
    <row r="43" spans="5:8">
      <c r="E43" s="7" t="s">
        <v>93</v>
      </c>
      <c r="F43" s="7" t="s">
        <v>94</v>
      </c>
      <c r="G43" s="7" t="s">
        <v>462</v>
      </c>
      <c r="H43" s="7" t="s">
        <v>453</v>
      </c>
    </row>
    <row r="44" spans="5:8">
      <c r="E44" s="7" t="s">
        <v>266</v>
      </c>
      <c r="F44" s="7" t="s">
        <v>267</v>
      </c>
      <c r="G44" s="7" t="s">
        <v>455</v>
      </c>
      <c r="H44" s="7" t="s">
        <v>463</v>
      </c>
    </row>
    <row r="45" spans="5:8">
      <c r="E45" s="7" t="s">
        <v>216</v>
      </c>
      <c r="F45" s="7" t="s">
        <v>217</v>
      </c>
      <c r="G45" s="7" t="s">
        <v>449</v>
      </c>
      <c r="H45" s="7" t="s">
        <v>460</v>
      </c>
    </row>
    <row r="46" spans="5:8">
      <c r="E46" s="7" t="s">
        <v>175</v>
      </c>
      <c r="F46" s="7" t="s">
        <v>176</v>
      </c>
      <c r="G46" s="7" t="s">
        <v>455</v>
      </c>
      <c r="H46" s="7" t="s">
        <v>445</v>
      </c>
    </row>
    <row r="47" spans="5:8">
      <c r="E47" s="7" t="s">
        <v>268</v>
      </c>
      <c r="F47" s="7" t="s">
        <v>269</v>
      </c>
      <c r="G47" s="7" t="s">
        <v>455</v>
      </c>
      <c r="H47" s="7" t="s">
        <v>462</v>
      </c>
    </row>
    <row r="48" spans="5:8">
      <c r="E48" s="7" t="s">
        <v>270</v>
      </c>
      <c r="F48" s="7" t="s">
        <v>271</v>
      </c>
      <c r="G48" s="7" t="s">
        <v>460</v>
      </c>
      <c r="H48" s="7" t="s">
        <v>445</v>
      </c>
    </row>
    <row r="49" spans="5:8">
      <c r="E49" s="7" t="s">
        <v>177</v>
      </c>
      <c r="F49" s="7" t="s">
        <v>178</v>
      </c>
      <c r="G49" s="7" t="s">
        <v>446</v>
      </c>
      <c r="H49" s="7" t="s">
        <v>460</v>
      </c>
    </row>
    <row r="50" spans="5:8">
      <c r="E50" s="7" t="s">
        <v>69</v>
      </c>
      <c r="F50" s="7" t="s">
        <v>70</v>
      </c>
      <c r="G50" s="7" t="s">
        <v>446</v>
      </c>
      <c r="H50" s="7" t="s">
        <v>460</v>
      </c>
    </row>
    <row r="51" spans="5:8">
      <c r="E51" s="7" t="s">
        <v>179</v>
      </c>
      <c r="F51" s="7" t="s">
        <v>180</v>
      </c>
      <c r="G51" s="7" t="s">
        <v>446</v>
      </c>
      <c r="H51" s="7" t="s">
        <v>460</v>
      </c>
    </row>
    <row r="52" spans="5:8">
      <c r="E52" s="7" t="s">
        <v>272</v>
      </c>
      <c r="F52" s="7" t="s">
        <v>273</v>
      </c>
      <c r="G52" s="7" t="s">
        <v>464</v>
      </c>
      <c r="H52" s="7" t="s">
        <v>454</v>
      </c>
    </row>
    <row r="53" spans="5:8">
      <c r="E53" s="7" t="s">
        <v>359</v>
      </c>
      <c r="F53" s="7" t="s">
        <v>360</v>
      </c>
      <c r="G53" s="7" t="s">
        <v>460</v>
      </c>
      <c r="H53" s="7" t="s">
        <v>445</v>
      </c>
    </row>
    <row r="54" spans="5:8">
      <c r="E54" s="7" t="s">
        <v>218</v>
      </c>
      <c r="F54" s="7" t="s">
        <v>219</v>
      </c>
      <c r="G54" s="7" t="s">
        <v>460</v>
      </c>
      <c r="H54" s="7" t="s">
        <v>445</v>
      </c>
    </row>
    <row r="55" spans="5:8">
      <c r="E55" s="7" t="s">
        <v>147</v>
      </c>
      <c r="F55" s="7" t="s">
        <v>148</v>
      </c>
      <c r="G55" s="7" t="s">
        <v>460</v>
      </c>
      <c r="H55" s="7" t="s">
        <v>445</v>
      </c>
    </row>
    <row r="56" spans="5:8">
      <c r="E56" s="7" t="s">
        <v>330</v>
      </c>
      <c r="F56" s="7" t="s">
        <v>331</v>
      </c>
      <c r="G56" s="7" t="s">
        <v>460</v>
      </c>
      <c r="H56" s="7" t="s">
        <v>465</v>
      </c>
    </row>
    <row r="57" spans="5:8">
      <c r="E57" s="7" t="s">
        <v>181</v>
      </c>
      <c r="F57" s="7" t="s">
        <v>182</v>
      </c>
      <c r="G57" s="7" t="s">
        <v>455</v>
      </c>
      <c r="H57" s="7" t="s">
        <v>463</v>
      </c>
    </row>
    <row r="58" spans="5:8">
      <c r="E58" s="7" t="s">
        <v>183</v>
      </c>
      <c r="F58" s="7" t="s">
        <v>184</v>
      </c>
      <c r="G58" s="7" t="s">
        <v>445</v>
      </c>
      <c r="H58" s="7" t="s">
        <v>454</v>
      </c>
    </row>
    <row r="59" spans="5:8">
      <c r="E59" s="7" t="s">
        <v>306</v>
      </c>
      <c r="F59" s="7" t="s">
        <v>307</v>
      </c>
      <c r="G59" s="7" t="s">
        <v>449</v>
      </c>
      <c r="H59" s="7" t="s">
        <v>466</v>
      </c>
    </row>
    <row r="60" spans="5:8">
      <c r="E60" s="7" t="s">
        <v>95</v>
      </c>
      <c r="F60" s="7" t="s">
        <v>96</v>
      </c>
      <c r="G60" s="7" t="s">
        <v>455</v>
      </c>
      <c r="H60" s="7" t="s">
        <v>462</v>
      </c>
    </row>
    <row r="61" spans="5:8">
      <c r="E61" s="7" t="s">
        <v>220</v>
      </c>
      <c r="F61" s="7" t="s">
        <v>221</v>
      </c>
      <c r="G61" s="7" t="s">
        <v>455</v>
      </c>
      <c r="H61" s="7" t="s">
        <v>462</v>
      </c>
    </row>
    <row r="62" spans="5:8">
      <c r="E62" s="7" t="s">
        <v>369</v>
      </c>
      <c r="F62" s="7" t="s">
        <v>370</v>
      </c>
      <c r="G62" s="7" t="s">
        <v>459</v>
      </c>
      <c r="H62" s="7" t="s">
        <v>453</v>
      </c>
    </row>
    <row r="63" spans="5:8">
      <c r="E63" s="7" t="s">
        <v>222</v>
      </c>
      <c r="F63" s="7" t="s">
        <v>223</v>
      </c>
      <c r="G63" s="7" t="s">
        <v>460</v>
      </c>
      <c r="H63" s="7" t="s">
        <v>445</v>
      </c>
    </row>
    <row r="64" spans="5:8">
      <c r="E64" s="7" t="s">
        <v>127</v>
      </c>
      <c r="F64" s="7" t="s">
        <v>128</v>
      </c>
      <c r="G64" s="7" t="s">
        <v>454</v>
      </c>
      <c r="H64" s="7" t="s">
        <v>467</v>
      </c>
    </row>
    <row r="65" spans="5:8">
      <c r="E65" s="7" t="s">
        <v>224</v>
      </c>
      <c r="F65" s="7" t="s">
        <v>225</v>
      </c>
      <c r="G65" s="7" t="s">
        <v>455</v>
      </c>
      <c r="H65" s="7" t="s">
        <v>462</v>
      </c>
    </row>
    <row r="66" spans="5:8">
      <c r="E66" s="7" t="s">
        <v>97</v>
      </c>
      <c r="F66" s="7" t="s">
        <v>98</v>
      </c>
      <c r="G66" s="7" t="s">
        <v>468</v>
      </c>
      <c r="H66" s="7" t="s">
        <v>467</v>
      </c>
    </row>
    <row r="67" spans="5:8">
      <c r="E67" s="7" t="s">
        <v>371</v>
      </c>
      <c r="F67" s="7" t="s">
        <v>372</v>
      </c>
      <c r="G67" s="7" t="s">
        <v>469</v>
      </c>
      <c r="H67" s="7" t="s">
        <v>470</v>
      </c>
    </row>
    <row r="68" spans="5:8">
      <c r="E68" s="7" t="s">
        <v>274</v>
      </c>
      <c r="F68" s="7" t="s">
        <v>275</v>
      </c>
      <c r="G68" s="7" t="s">
        <v>463</v>
      </c>
      <c r="H68" s="7" t="s">
        <v>445</v>
      </c>
    </row>
    <row r="69" spans="5:8">
      <c r="E69" s="7" t="s">
        <v>71</v>
      </c>
      <c r="F69" s="7" t="s">
        <v>72</v>
      </c>
      <c r="G69" s="7" t="s">
        <v>471</v>
      </c>
      <c r="H69" s="7" t="s">
        <v>453</v>
      </c>
    </row>
    <row r="70" spans="5:8">
      <c r="E70" s="7" t="s">
        <v>99</v>
      </c>
      <c r="F70" s="7" t="s">
        <v>100</v>
      </c>
      <c r="G70" s="7" t="s">
        <v>460</v>
      </c>
      <c r="H70" s="7" t="s">
        <v>465</v>
      </c>
    </row>
    <row r="71" spans="5:8">
      <c r="E71" s="7" t="s">
        <v>276</v>
      </c>
      <c r="F71" s="7" t="s">
        <v>277</v>
      </c>
      <c r="G71" s="7" t="s">
        <v>454</v>
      </c>
      <c r="H71" s="7" t="s">
        <v>449</v>
      </c>
    </row>
    <row r="72" spans="5:8">
      <c r="E72" s="7" t="s">
        <v>308</v>
      </c>
      <c r="F72" s="7" t="s">
        <v>309</v>
      </c>
      <c r="G72" s="7" t="s">
        <v>450</v>
      </c>
      <c r="H72" s="7" t="s">
        <v>472</v>
      </c>
    </row>
    <row r="73" spans="5:8">
      <c r="E73" s="7" t="s">
        <v>339</v>
      </c>
      <c r="F73" s="7" t="s">
        <v>340</v>
      </c>
      <c r="G73" s="7" t="s">
        <v>466</v>
      </c>
      <c r="H73" s="7" t="s">
        <v>468</v>
      </c>
    </row>
    <row r="74" spans="5:8">
      <c r="E74" s="7" t="s">
        <v>185</v>
      </c>
      <c r="F74" s="7" t="s">
        <v>186</v>
      </c>
      <c r="G74" s="7" t="s">
        <v>446</v>
      </c>
      <c r="H74" s="7" t="s">
        <v>457</v>
      </c>
    </row>
    <row r="75" spans="5:8">
      <c r="E75" s="7" t="s">
        <v>278</v>
      </c>
      <c r="F75" s="7" t="s">
        <v>279</v>
      </c>
      <c r="G75" s="7" t="s">
        <v>450</v>
      </c>
      <c r="H75" s="7" t="s">
        <v>470</v>
      </c>
    </row>
    <row r="76" spans="5:8">
      <c r="E76" s="7" t="s">
        <v>226</v>
      </c>
      <c r="F76" s="7" t="s">
        <v>227</v>
      </c>
      <c r="G76" s="7" t="s">
        <v>463</v>
      </c>
      <c r="H76" s="7" t="s">
        <v>445</v>
      </c>
    </row>
    <row r="77" spans="5:8">
      <c r="E77" s="7" t="s">
        <v>101</v>
      </c>
      <c r="F77" s="7" t="s">
        <v>102</v>
      </c>
      <c r="G77" s="7" t="s">
        <v>463</v>
      </c>
      <c r="H77" s="7" t="s">
        <v>445</v>
      </c>
    </row>
    <row r="78" spans="5:8">
      <c r="E78" s="7" t="s">
        <v>103</v>
      </c>
      <c r="F78" s="7" t="s">
        <v>104</v>
      </c>
      <c r="G78" s="7" t="s">
        <v>455</v>
      </c>
      <c r="H78" s="7" t="s">
        <v>462</v>
      </c>
    </row>
    <row r="79" spans="5:8">
      <c r="E79" s="7" t="s">
        <v>383</v>
      </c>
      <c r="F79" s="7" t="s">
        <v>384</v>
      </c>
      <c r="G79" s="7" t="s">
        <v>447</v>
      </c>
      <c r="H79" s="7" t="s">
        <v>448</v>
      </c>
    </row>
    <row r="80" spans="5:8">
      <c r="E80" s="7" t="s">
        <v>187</v>
      </c>
      <c r="F80" s="7" t="s">
        <v>188</v>
      </c>
      <c r="G80" s="7" t="s">
        <v>446</v>
      </c>
      <c r="H80" s="7" t="s">
        <v>462</v>
      </c>
    </row>
    <row r="81" spans="5:8">
      <c r="E81" s="7" t="s">
        <v>105</v>
      </c>
      <c r="F81" s="7" t="s">
        <v>106</v>
      </c>
      <c r="G81" s="7" t="s">
        <v>455</v>
      </c>
      <c r="H81" s="7" t="s">
        <v>462</v>
      </c>
    </row>
    <row r="82" spans="5:8">
      <c r="E82" s="7" t="s">
        <v>228</v>
      </c>
      <c r="F82" s="7" t="s">
        <v>229</v>
      </c>
      <c r="G82" s="7" t="s">
        <v>463</v>
      </c>
      <c r="H82" s="7" t="s">
        <v>445</v>
      </c>
    </row>
    <row r="83" spans="5:8">
      <c r="E83" s="7" t="s">
        <v>189</v>
      </c>
      <c r="F83" s="7" t="s">
        <v>190</v>
      </c>
      <c r="G83" s="7" t="s">
        <v>467</v>
      </c>
      <c r="H83" s="7" t="s">
        <v>473</v>
      </c>
    </row>
    <row r="84" spans="5:8">
      <c r="E84" s="7" t="s">
        <v>230</v>
      </c>
      <c r="F84" s="7" t="s">
        <v>231</v>
      </c>
      <c r="G84" s="7" t="s">
        <v>468</v>
      </c>
      <c r="H84" s="7" t="s">
        <v>457</v>
      </c>
    </row>
    <row r="85" spans="5:8">
      <c r="E85" s="7" t="s">
        <v>191</v>
      </c>
      <c r="F85" s="7" t="s">
        <v>192</v>
      </c>
      <c r="G85" s="7" t="s">
        <v>458</v>
      </c>
      <c r="H85" s="7" t="s">
        <v>465</v>
      </c>
    </row>
    <row r="86" spans="5:8">
      <c r="E86" s="7" t="s">
        <v>355</v>
      </c>
      <c r="F86" s="7" t="s">
        <v>356</v>
      </c>
      <c r="G86" s="7" t="s">
        <v>471</v>
      </c>
      <c r="H86" s="7" t="s">
        <v>453</v>
      </c>
    </row>
    <row r="87" spans="5:8">
      <c r="E87" s="7" t="s">
        <v>310</v>
      </c>
      <c r="F87" s="7" t="s">
        <v>311</v>
      </c>
      <c r="G87" s="7" t="s">
        <v>471</v>
      </c>
      <c r="H87" s="7" t="s">
        <v>453</v>
      </c>
    </row>
    <row r="88" spans="5:8">
      <c r="E88" s="7" t="s">
        <v>341</v>
      </c>
      <c r="F88" s="7" t="s">
        <v>342</v>
      </c>
      <c r="G88" s="7" t="s">
        <v>468</v>
      </c>
      <c r="H88" s="7" t="s">
        <v>455</v>
      </c>
    </row>
    <row r="89" spans="5:8">
      <c r="E89" s="7" t="s">
        <v>375</v>
      </c>
      <c r="F89" s="7" t="s">
        <v>376</v>
      </c>
      <c r="G89" s="7" t="s">
        <v>466</v>
      </c>
      <c r="H89" s="7" t="s">
        <v>468</v>
      </c>
    </row>
    <row r="90" spans="5:8">
      <c r="E90" s="7" t="s">
        <v>193</v>
      </c>
      <c r="F90" s="7" t="s">
        <v>194</v>
      </c>
      <c r="G90" s="7" t="s">
        <v>447</v>
      </c>
      <c r="H90" s="7" t="s">
        <v>460</v>
      </c>
    </row>
    <row r="91" spans="5:8">
      <c r="E91" s="7" t="s">
        <v>312</v>
      </c>
      <c r="F91" s="7" t="s">
        <v>313</v>
      </c>
      <c r="G91" s="7" t="s">
        <v>446</v>
      </c>
      <c r="H91" s="7" t="s">
        <v>473</v>
      </c>
    </row>
    <row r="92" spans="5:8">
      <c r="E92" s="7" t="s">
        <v>107</v>
      </c>
      <c r="F92" s="7" t="s">
        <v>108</v>
      </c>
      <c r="G92" s="7" t="s">
        <v>446</v>
      </c>
      <c r="H92" s="7" t="s">
        <v>473</v>
      </c>
    </row>
    <row r="93" spans="5:8">
      <c r="E93" s="7" t="s">
        <v>280</v>
      </c>
      <c r="F93" s="7" t="s">
        <v>281</v>
      </c>
      <c r="G93" s="7" t="s">
        <v>469</v>
      </c>
      <c r="H93" s="7" t="s">
        <v>466</v>
      </c>
    </row>
    <row r="94" spans="5:8">
      <c r="E94" s="7" t="s">
        <v>361</v>
      </c>
      <c r="F94" s="7" t="s">
        <v>362</v>
      </c>
      <c r="G94" s="7" t="s">
        <v>445</v>
      </c>
      <c r="H94" s="7" t="s">
        <v>454</v>
      </c>
    </row>
    <row r="95" spans="5:8">
      <c r="E95" s="7" t="s">
        <v>282</v>
      </c>
      <c r="F95" s="7" t="s">
        <v>283</v>
      </c>
      <c r="G95" s="7" t="s">
        <v>445</v>
      </c>
      <c r="H95" s="7" t="s">
        <v>454</v>
      </c>
    </row>
    <row r="96" spans="5:8">
      <c r="E96" s="7" t="s">
        <v>129</v>
      </c>
      <c r="F96" s="7" t="s">
        <v>130</v>
      </c>
      <c r="G96" s="7" t="s">
        <v>446</v>
      </c>
      <c r="H96" s="7" t="s">
        <v>470</v>
      </c>
    </row>
    <row r="97" spans="5:8">
      <c r="E97" s="7" t="s">
        <v>232</v>
      </c>
      <c r="F97" s="7" t="s">
        <v>233</v>
      </c>
      <c r="G97" s="7" t="s">
        <v>459</v>
      </c>
      <c r="H97" s="7" t="s">
        <v>469</v>
      </c>
    </row>
    <row r="98" spans="5:8">
      <c r="E98" s="7" t="s">
        <v>131</v>
      </c>
      <c r="F98" s="7" t="s">
        <v>132</v>
      </c>
      <c r="G98" s="7" t="s">
        <v>467</v>
      </c>
      <c r="H98" s="7" t="s">
        <v>466</v>
      </c>
    </row>
    <row r="99" spans="5:8">
      <c r="E99" s="7" t="s">
        <v>363</v>
      </c>
      <c r="F99" s="7" t="s">
        <v>364</v>
      </c>
      <c r="G99" s="7" t="s">
        <v>445</v>
      </c>
      <c r="H99" s="7" t="s">
        <v>454</v>
      </c>
    </row>
    <row r="100" spans="5:8">
      <c r="E100" s="7" t="s">
        <v>149</v>
      </c>
      <c r="F100" s="7" t="s">
        <v>150</v>
      </c>
      <c r="G100" s="7" t="s">
        <v>446</v>
      </c>
      <c r="H100" s="7" t="s">
        <v>450</v>
      </c>
    </row>
    <row r="101" spans="5:8">
      <c r="E101" s="7" t="s">
        <v>195</v>
      </c>
      <c r="F101" s="7" t="s">
        <v>196</v>
      </c>
      <c r="G101" s="7" t="s">
        <v>465</v>
      </c>
      <c r="H101" s="7" t="s">
        <v>459</v>
      </c>
    </row>
    <row r="102" spans="5:8">
      <c r="E102" s="7" t="s">
        <v>284</v>
      </c>
      <c r="F102" s="7" t="s">
        <v>285</v>
      </c>
      <c r="G102" s="7" t="s">
        <v>446</v>
      </c>
      <c r="H102" s="7" t="s">
        <v>473</v>
      </c>
    </row>
    <row r="103" spans="5:8">
      <c r="E103" s="7" t="s">
        <v>234</v>
      </c>
      <c r="F103" s="7" t="s">
        <v>235</v>
      </c>
      <c r="G103" s="7" t="s">
        <v>446</v>
      </c>
      <c r="H103" s="7" t="s">
        <v>470</v>
      </c>
    </row>
    <row r="104" spans="5:8">
      <c r="E104" s="7" t="s">
        <v>151</v>
      </c>
      <c r="F104" s="7" t="s">
        <v>152</v>
      </c>
      <c r="G104" s="7" t="s">
        <v>473</v>
      </c>
      <c r="H104" s="7" t="s">
        <v>454</v>
      </c>
    </row>
    <row r="105" spans="5:8">
      <c r="E105" s="7" t="s">
        <v>73</v>
      </c>
      <c r="F105" s="7" t="s">
        <v>74</v>
      </c>
      <c r="G105" s="7" t="s">
        <v>461</v>
      </c>
      <c r="H105" s="7" t="s">
        <v>459</v>
      </c>
    </row>
    <row r="106" spans="5:8">
      <c r="E106" s="7" t="s">
        <v>367</v>
      </c>
      <c r="F106" s="7" t="s">
        <v>368</v>
      </c>
      <c r="G106" s="7" t="s">
        <v>446</v>
      </c>
      <c r="H106" s="7" t="s">
        <v>474</v>
      </c>
    </row>
    <row r="107" spans="5:8">
      <c r="E107" s="7" t="s">
        <v>334</v>
      </c>
      <c r="F107" s="7" t="s">
        <v>335</v>
      </c>
      <c r="G107" s="7" t="s">
        <v>466</v>
      </c>
      <c r="H107" s="7" t="s">
        <v>468</v>
      </c>
    </row>
    <row r="108" spans="5:8">
      <c r="E108" s="7" t="s">
        <v>153</v>
      </c>
      <c r="F108" s="7" t="s">
        <v>154</v>
      </c>
      <c r="G108" s="7" t="s">
        <v>462</v>
      </c>
      <c r="H108" s="7" t="s">
        <v>454</v>
      </c>
    </row>
    <row r="109" spans="5:8">
      <c r="E109" s="7" t="s">
        <v>314</v>
      </c>
      <c r="F109" s="7" t="s">
        <v>315</v>
      </c>
      <c r="G109" s="7" t="s">
        <v>458</v>
      </c>
      <c r="H109" s="7" t="s">
        <v>474</v>
      </c>
    </row>
    <row r="110" spans="5:8">
      <c r="E110" s="7" t="s">
        <v>236</v>
      </c>
      <c r="F110" s="7" t="s">
        <v>237</v>
      </c>
      <c r="G110" s="7" t="s">
        <v>468</v>
      </c>
      <c r="H110" s="7" t="s">
        <v>459</v>
      </c>
    </row>
    <row r="111" spans="5:8">
      <c r="E111" s="7" t="s">
        <v>155</v>
      </c>
      <c r="F111" s="7" t="s">
        <v>156</v>
      </c>
      <c r="G111" s="7" t="s">
        <v>460</v>
      </c>
      <c r="H111" s="7" t="s">
        <v>445</v>
      </c>
    </row>
    <row r="112" spans="5:8">
      <c r="E112" s="7" t="s">
        <v>197</v>
      </c>
      <c r="F112" s="7" t="s">
        <v>198</v>
      </c>
      <c r="G112" s="7" t="s">
        <v>462</v>
      </c>
      <c r="H112" s="7" t="s">
        <v>470</v>
      </c>
    </row>
    <row r="113" spans="5:8">
      <c r="E113" s="7" t="s">
        <v>133</v>
      </c>
      <c r="F113" s="7" t="s">
        <v>134</v>
      </c>
      <c r="G113" s="7" t="s">
        <v>449</v>
      </c>
      <c r="H113" s="7" t="s">
        <v>463</v>
      </c>
    </row>
    <row r="114" spans="5:8">
      <c r="E114" s="7" t="s">
        <v>238</v>
      </c>
      <c r="F114" s="7" t="s">
        <v>239</v>
      </c>
      <c r="G114" s="7" t="s">
        <v>461</v>
      </c>
      <c r="H114" s="7" t="s">
        <v>461</v>
      </c>
    </row>
    <row r="115" spans="5:8">
      <c r="E115" s="7" t="s">
        <v>379</v>
      </c>
      <c r="F115" s="7" t="s">
        <v>380</v>
      </c>
      <c r="G115" s="7" t="s">
        <v>445</v>
      </c>
      <c r="H115" s="7" t="s">
        <v>459</v>
      </c>
    </row>
    <row r="116" spans="5:8">
      <c r="E116" s="7" t="s">
        <v>377</v>
      </c>
      <c r="F116" s="7" t="s">
        <v>378</v>
      </c>
      <c r="G116" s="7" t="s">
        <v>445</v>
      </c>
      <c r="H116" s="7" t="s">
        <v>459</v>
      </c>
    </row>
    <row r="117" spans="5:8">
      <c r="E117" s="7" t="s">
        <v>199</v>
      </c>
      <c r="F117" s="7" t="s">
        <v>200</v>
      </c>
      <c r="G117" s="7" t="s">
        <v>468</v>
      </c>
      <c r="H117" s="7" t="s">
        <v>464</v>
      </c>
    </row>
    <row r="118" spans="5:8">
      <c r="E118" s="7" t="s">
        <v>240</v>
      </c>
      <c r="F118" s="7" t="s">
        <v>241</v>
      </c>
      <c r="G118" s="7" t="s">
        <v>450</v>
      </c>
      <c r="H118" s="7" t="s">
        <v>470</v>
      </c>
    </row>
    <row r="119" spans="5:8">
      <c r="E119" s="7" t="s">
        <v>75</v>
      </c>
      <c r="F119" s="7" t="s">
        <v>76</v>
      </c>
      <c r="G119" s="7" t="s">
        <v>454</v>
      </c>
      <c r="H119" s="7" t="s">
        <v>473</v>
      </c>
    </row>
    <row r="120" spans="5:8">
      <c r="E120" s="7" t="s">
        <v>373</v>
      </c>
      <c r="F120" s="7" t="s">
        <v>374</v>
      </c>
      <c r="G120" s="7" t="s">
        <v>466</v>
      </c>
      <c r="H120" s="7" t="s">
        <v>468</v>
      </c>
    </row>
    <row r="121" spans="5:8">
      <c r="E121" s="7" t="s">
        <v>201</v>
      </c>
      <c r="F121" s="7" t="s">
        <v>202</v>
      </c>
      <c r="G121" s="7" t="s">
        <v>461</v>
      </c>
      <c r="H121" s="7" t="s">
        <v>459</v>
      </c>
    </row>
    <row r="122" spans="5:8">
      <c r="E122" s="7" t="s">
        <v>286</v>
      </c>
      <c r="F122" s="7" t="s">
        <v>287</v>
      </c>
      <c r="G122" s="7" t="s">
        <v>473</v>
      </c>
      <c r="H122" s="7" t="s">
        <v>456</v>
      </c>
    </row>
    <row r="123" spans="5:8">
      <c r="E123" s="7" t="s">
        <v>109</v>
      </c>
      <c r="F123" s="7" t="s">
        <v>110</v>
      </c>
      <c r="G123" s="7" t="s">
        <v>462</v>
      </c>
      <c r="H123" s="7" t="s">
        <v>466</v>
      </c>
    </row>
    <row r="124" spans="5:8">
      <c r="E124" s="7" t="s">
        <v>242</v>
      </c>
      <c r="F124" s="7" t="s">
        <v>243</v>
      </c>
      <c r="G124" s="7" t="s">
        <v>460</v>
      </c>
      <c r="H124" s="7" t="s">
        <v>457</v>
      </c>
    </row>
    <row r="125" spans="5:8">
      <c r="E125" s="7" t="s">
        <v>343</v>
      </c>
      <c r="F125" s="7" t="s">
        <v>344</v>
      </c>
      <c r="G125" s="7" t="s">
        <v>462</v>
      </c>
      <c r="H125" s="7" t="s">
        <v>466</v>
      </c>
    </row>
    <row r="126" spans="5:8">
      <c r="E126" s="7" t="s">
        <v>244</v>
      </c>
      <c r="F126" s="7" t="s">
        <v>245</v>
      </c>
      <c r="G126" s="7" t="s">
        <v>445</v>
      </c>
      <c r="H126" s="7" t="s">
        <v>468</v>
      </c>
    </row>
    <row r="127" spans="5:8">
      <c r="E127" s="7" t="s">
        <v>111</v>
      </c>
      <c r="F127" s="7" t="s">
        <v>112</v>
      </c>
      <c r="G127" s="7" t="s">
        <v>455</v>
      </c>
      <c r="H127" s="7" t="s">
        <v>446</v>
      </c>
    </row>
    <row r="128" spans="5:8">
      <c r="E128" s="7" t="s">
        <v>401</v>
      </c>
      <c r="F128" s="7" t="s">
        <v>402</v>
      </c>
      <c r="G128" s="7" t="s">
        <v>471</v>
      </c>
      <c r="H128" s="7" t="s">
        <v>453</v>
      </c>
    </row>
    <row r="129" spans="5:8">
      <c r="E129" s="7" t="s">
        <v>337</v>
      </c>
      <c r="F129" s="7" t="s">
        <v>338</v>
      </c>
      <c r="G129" s="7" t="s">
        <v>455</v>
      </c>
      <c r="H129" s="7" t="s">
        <v>463</v>
      </c>
    </row>
    <row r="130" spans="5:8">
      <c r="E130" s="7" t="s">
        <v>288</v>
      </c>
      <c r="F130" s="7" t="s">
        <v>289</v>
      </c>
      <c r="G130" s="7" t="s">
        <v>460</v>
      </c>
      <c r="H130" s="7" t="s">
        <v>445</v>
      </c>
    </row>
    <row r="131" spans="5:8">
      <c r="E131" s="7" t="s">
        <v>157</v>
      </c>
      <c r="F131" s="7" t="s">
        <v>158</v>
      </c>
      <c r="G131" s="7" t="s">
        <v>469</v>
      </c>
      <c r="H131" s="7" t="s">
        <v>450</v>
      </c>
    </row>
    <row r="132" spans="5:8">
      <c r="E132" s="7" t="s">
        <v>246</v>
      </c>
      <c r="F132" s="7" t="s">
        <v>247</v>
      </c>
      <c r="G132" s="7" t="s">
        <v>445</v>
      </c>
      <c r="H132" s="7" t="s">
        <v>459</v>
      </c>
    </row>
    <row r="133" spans="5:8">
      <c r="E133" s="7" t="s">
        <v>113</v>
      </c>
      <c r="F133" s="7" t="s">
        <v>114</v>
      </c>
      <c r="G133" s="7" t="s">
        <v>453</v>
      </c>
      <c r="H133" s="7" t="s">
        <v>454</v>
      </c>
    </row>
    <row r="134" spans="5:8">
      <c r="E134" s="7" t="s">
        <v>345</v>
      </c>
      <c r="F134" s="7" t="s">
        <v>346</v>
      </c>
      <c r="G134" s="7" t="s">
        <v>455</v>
      </c>
      <c r="H134" s="7" t="s">
        <v>462</v>
      </c>
    </row>
    <row r="135" spans="5:8">
      <c r="E135" s="7" t="s">
        <v>135</v>
      </c>
      <c r="F135" s="7" t="s">
        <v>136</v>
      </c>
      <c r="G135" s="7" t="s">
        <v>455</v>
      </c>
      <c r="H135" s="7" t="s">
        <v>446</v>
      </c>
    </row>
    <row r="136" spans="5:8">
      <c r="E136" s="7" t="s">
        <v>326</v>
      </c>
      <c r="F136" s="7" t="s">
        <v>327</v>
      </c>
      <c r="G136" s="7" t="s">
        <v>450</v>
      </c>
      <c r="H136" s="7" t="s">
        <v>456</v>
      </c>
    </row>
    <row r="137" spans="5:8">
      <c r="E137" s="7" t="s">
        <v>290</v>
      </c>
      <c r="F137" s="7" t="s">
        <v>291</v>
      </c>
      <c r="G137" s="7" t="s">
        <v>447</v>
      </c>
      <c r="H137" s="7" t="s">
        <v>448</v>
      </c>
    </row>
    <row r="138" spans="5:8">
      <c r="E138" s="7" t="s">
        <v>316</v>
      </c>
      <c r="F138" s="7" t="s">
        <v>317</v>
      </c>
      <c r="G138" s="7" t="s">
        <v>447</v>
      </c>
      <c r="H138" s="7" t="s">
        <v>448</v>
      </c>
    </row>
    <row r="139" spans="5:8">
      <c r="E139" s="7" t="s">
        <v>357</v>
      </c>
      <c r="F139" s="7" t="s">
        <v>358</v>
      </c>
      <c r="G139" s="7" t="s">
        <v>471</v>
      </c>
      <c r="H139" s="7" t="s">
        <v>453</v>
      </c>
    </row>
    <row r="140" spans="5:8">
      <c r="E140" s="7" t="s">
        <v>248</v>
      </c>
      <c r="F140" s="7" t="s">
        <v>249</v>
      </c>
      <c r="G140" s="7" t="s">
        <v>461</v>
      </c>
      <c r="H140" s="7" t="s">
        <v>461</v>
      </c>
    </row>
    <row r="141" spans="5:8">
      <c r="E141" s="7" t="s">
        <v>159</v>
      </c>
      <c r="F141" s="7" t="s">
        <v>160</v>
      </c>
      <c r="G141" s="7" t="s">
        <v>447</v>
      </c>
      <c r="H141" s="7" t="s">
        <v>450</v>
      </c>
    </row>
    <row r="142" spans="5:8">
      <c r="E142" s="7" t="s">
        <v>292</v>
      </c>
      <c r="F142" s="7" t="s">
        <v>293</v>
      </c>
      <c r="G142" s="7" t="s">
        <v>468</v>
      </c>
      <c r="H142" s="7" t="s">
        <v>469</v>
      </c>
    </row>
    <row r="143" spans="5:8">
      <c r="E143" s="7" t="s">
        <v>318</v>
      </c>
      <c r="F143" s="7" t="s">
        <v>319</v>
      </c>
      <c r="G143" s="7" t="s">
        <v>466</v>
      </c>
      <c r="H143" s="7" t="s">
        <v>469</v>
      </c>
    </row>
    <row r="144" spans="5:8">
      <c r="E144" s="7" t="s">
        <v>203</v>
      </c>
      <c r="F144" s="7" t="s">
        <v>204</v>
      </c>
      <c r="G144" s="7" t="s">
        <v>466</v>
      </c>
      <c r="H144" s="7" t="s">
        <v>469</v>
      </c>
    </row>
    <row r="145" spans="5:8">
      <c r="E145" s="7" t="s">
        <v>137</v>
      </c>
      <c r="F145" s="7" t="s">
        <v>138</v>
      </c>
      <c r="G145" s="7" t="s">
        <v>447</v>
      </c>
      <c r="H145" s="7" t="s">
        <v>448</v>
      </c>
    </row>
    <row r="146" spans="5:8">
      <c r="E146" s="7" t="s">
        <v>115</v>
      </c>
      <c r="F146" s="7" t="s">
        <v>116</v>
      </c>
      <c r="G146" s="7" t="s">
        <v>466</v>
      </c>
      <c r="H146" s="7" t="s">
        <v>469</v>
      </c>
    </row>
    <row r="147" spans="5:8">
      <c r="E147" s="7" t="s">
        <v>332</v>
      </c>
      <c r="F147" s="7" t="s">
        <v>333</v>
      </c>
      <c r="G147" s="7" t="s">
        <v>466</v>
      </c>
      <c r="H147" s="7" t="s">
        <v>469</v>
      </c>
    </row>
    <row r="148" spans="5:8">
      <c r="E148" s="7" t="s">
        <v>161</v>
      </c>
      <c r="F148" s="7" t="s">
        <v>162</v>
      </c>
      <c r="G148" s="7" t="s">
        <v>449</v>
      </c>
      <c r="H148" s="7" t="s">
        <v>445</v>
      </c>
    </row>
    <row r="149" spans="5:8">
      <c r="E149" s="7" t="s">
        <v>336</v>
      </c>
      <c r="F149" s="7" t="s">
        <v>205</v>
      </c>
      <c r="G149" s="7" t="s">
        <v>449</v>
      </c>
      <c r="H149" s="7" t="s">
        <v>466</v>
      </c>
    </row>
    <row r="150" spans="5:8">
      <c r="E150" s="7" t="s">
        <v>294</v>
      </c>
      <c r="F150" s="7" t="s">
        <v>295</v>
      </c>
      <c r="G150" s="7" t="s">
        <v>453</v>
      </c>
      <c r="H150" s="7" t="s">
        <v>454</v>
      </c>
    </row>
    <row r="151" spans="5:8">
      <c r="E151" s="7" t="s">
        <v>163</v>
      </c>
      <c r="F151" s="7" t="s">
        <v>164</v>
      </c>
      <c r="G151" s="7" t="s">
        <v>455</v>
      </c>
      <c r="H151" s="7" t="s">
        <v>456</v>
      </c>
    </row>
    <row r="152" spans="5:8">
      <c r="E152" s="7" t="s">
        <v>250</v>
      </c>
      <c r="F152" s="7" t="s">
        <v>251</v>
      </c>
      <c r="G152" s="7" t="s">
        <v>455</v>
      </c>
      <c r="H152" s="7" t="s">
        <v>456</v>
      </c>
    </row>
    <row r="153" spans="5:8">
      <c r="E153" s="7" t="s">
        <v>252</v>
      </c>
      <c r="F153" s="7" t="s">
        <v>253</v>
      </c>
      <c r="G153" s="7" t="s">
        <v>455</v>
      </c>
      <c r="H153" s="7" t="s">
        <v>460</v>
      </c>
    </row>
    <row r="154" spans="5:8">
      <c r="E154" s="7" t="s">
        <v>254</v>
      </c>
      <c r="F154" s="7" t="s">
        <v>255</v>
      </c>
      <c r="G154" s="7" t="s">
        <v>453</v>
      </c>
      <c r="H154" s="7" t="s">
        <v>454</v>
      </c>
    </row>
    <row r="155" spans="5:8">
      <c r="E155" s="7" t="s">
        <v>256</v>
      </c>
      <c r="F155" s="7" t="s">
        <v>257</v>
      </c>
      <c r="G155" s="7" t="s">
        <v>450</v>
      </c>
      <c r="H155" s="7" t="s">
        <v>449</v>
      </c>
    </row>
    <row r="156" spans="5:8">
      <c r="E156" s="7" t="s">
        <v>77</v>
      </c>
      <c r="F156" s="7" t="s">
        <v>78</v>
      </c>
      <c r="G156" s="7" t="s">
        <v>470</v>
      </c>
      <c r="H156" s="7" t="s">
        <v>463</v>
      </c>
    </row>
    <row r="157" spans="5:8">
      <c r="E157" s="7" t="s">
        <v>320</v>
      </c>
      <c r="F157" s="7" t="s">
        <v>321</v>
      </c>
      <c r="G157" s="7" t="s">
        <v>445</v>
      </c>
      <c r="H157" s="7" t="s">
        <v>459</v>
      </c>
    </row>
    <row r="158" spans="5:8">
      <c r="E158" s="7" t="s">
        <v>296</v>
      </c>
      <c r="F158" s="7" t="s">
        <v>297</v>
      </c>
      <c r="G158" s="7" t="s">
        <v>455</v>
      </c>
      <c r="H158" s="7" t="s">
        <v>470</v>
      </c>
    </row>
    <row r="159" spans="5:8">
      <c r="E159" s="7" t="s">
        <v>79</v>
      </c>
      <c r="F159" s="7" t="s">
        <v>80</v>
      </c>
      <c r="G159" s="7" t="s">
        <v>445</v>
      </c>
      <c r="H159" s="7" t="s">
        <v>446</v>
      </c>
    </row>
    <row r="160" spans="5:8">
      <c r="E160" s="7" t="s">
        <v>421</v>
      </c>
      <c r="F160" s="7" t="s">
        <v>422</v>
      </c>
      <c r="G160" s="7" t="s">
        <v>469</v>
      </c>
      <c r="H160" s="7" t="s">
        <v>470</v>
      </c>
    </row>
    <row r="161" spans="5:8">
      <c r="E161" s="7" t="s">
        <v>409</v>
      </c>
      <c r="F161" s="7" t="s">
        <v>410</v>
      </c>
      <c r="G161" s="7" t="s">
        <v>469</v>
      </c>
      <c r="H161" s="7" t="s">
        <v>470</v>
      </c>
    </row>
    <row r="162" spans="5:8">
      <c r="E162" s="7" t="s">
        <v>405</v>
      </c>
      <c r="F162" s="7" t="s">
        <v>406</v>
      </c>
      <c r="G162" s="7" t="s">
        <v>466</v>
      </c>
      <c r="H162" s="7" t="s">
        <v>469</v>
      </c>
    </row>
    <row r="163" spans="5:8">
      <c r="E163" s="7" t="s">
        <v>399</v>
      </c>
      <c r="F163" s="7" t="s">
        <v>400</v>
      </c>
      <c r="G163" s="7" t="s">
        <v>445</v>
      </c>
      <c r="H163" s="7" t="s">
        <v>454</v>
      </c>
    </row>
    <row r="164" spans="5:8">
      <c r="E164" s="7" t="s">
        <v>403</v>
      </c>
      <c r="F164" s="7" t="s">
        <v>404</v>
      </c>
      <c r="G164" s="7" t="s">
        <v>466</v>
      </c>
      <c r="H164" s="7" t="s">
        <v>469</v>
      </c>
    </row>
    <row r="165" spans="5:8">
      <c r="E165" s="7" t="s">
        <v>81</v>
      </c>
      <c r="F165" s="7" t="s">
        <v>82</v>
      </c>
      <c r="G165" s="7" t="s">
        <v>445</v>
      </c>
      <c r="H165" s="7" t="s">
        <v>446</v>
      </c>
    </row>
    <row r="166" spans="5:8">
      <c r="E166" s="7" t="s">
        <v>397</v>
      </c>
      <c r="F166" s="7" t="s">
        <v>398</v>
      </c>
      <c r="G166" s="7" t="s">
        <v>445</v>
      </c>
      <c r="H166" s="7" t="s">
        <v>446</v>
      </c>
    </row>
    <row r="167" spans="5:8">
      <c r="E167" s="7" t="s">
        <v>419</v>
      </c>
      <c r="F167" s="7" t="s">
        <v>420</v>
      </c>
      <c r="G167" s="7" t="s">
        <v>445</v>
      </c>
      <c r="H167" s="7" t="s">
        <v>446</v>
      </c>
    </row>
    <row r="168" spans="5:8">
      <c r="E168" s="7" t="s">
        <v>117</v>
      </c>
      <c r="F168" s="7" t="s">
        <v>118</v>
      </c>
      <c r="G168" s="7" t="s">
        <v>455</v>
      </c>
      <c r="H168" s="7" t="s">
        <v>446</v>
      </c>
    </row>
    <row r="169" spans="5:8">
      <c r="E169" s="7" t="s">
        <v>83</v>
      </c>
      <c r="F169" s="7" t="s">
        <v>84</v>
      </c>
      <c r="G169" s="7" t="s">
        <v>445</v>
      </c>
      <c r="H169" s="7" t="s">
        <v>446</v>
      </c>
    </row>
    <row r="170" spans="5:8">
      <c r="E170" s="7" t="s">
        <v>322</v>
      </c>
      <c r="F170" s="7" t="s">
        <v>323</v>
      </c>
      <c r="G170" s="7" t="s">
        <v>445</v>
      </c>
      <c r="H170" s="7" t="s">
        <v>446</v>
      </c>
    </row>
    <row r="171" spans="5:8">
      <c r="E171" s="7" t="s">
        <v>258</v>
      </c>
      <c r="F171" s="7" t="s">
        <v>259</v>
      </c>
      <c r="G171" s="7" t="s">
        <v>445</v>
      </c>
      <c r="H171" s="7" t="s">
        <v>446</v>
      </c>
    </row>
    <row r="172" spans="5:8">
      <c r="E172" s="7" t="s">
        <v>206</v>
      </c>
      <c r="F172" s="7" t="s">
        <v>207</v>
      </c>
      <c r="G172" s="7" t="s">
        <v>467</v>
      </c>
      <c r="H172" s="7" t="s">
        <v>445</v>
      </c>
    </row>
    <row r="173" spans="5:8">
      <c r="E173" s="7" t="s">
        <v>165</v>
      </c>
      <c r="F173" s="7" t="s">
        <v>166</v>
      </c>
      <c r="G173" s="7" t="s">
        <v>467</v>
      </c>
      <c r="H173" s="7" t="s">
        <v>445</v>
      </c>
    </row>
    <row r="174" spans="5:8">
      <c r="E174" s="7" t="s">
        <v>298</v>
      </c>
      <c r="F174" s="7" t="s">
        <v>299</v>
      </c>
      <c r="G174" s="7" t="s">
        <v>468</v>
      </c>
      <c r="H174" s="7" t="s">
        <v>459</v>
      </c>
    </row>
    <row r="175" spans="5:8">
      <c r="E175" s="7" t="s">
        <v>208</v>
      </c>
      <c r="F175" s="7" t="s">
        <v>209</v>
      </c>
      <c r="G175" s="7" t="s">
        <v>459</v>
      </c>
      <c r="H175" s="7" t="s">
        <v>450</v>
      </c>
    </row>
    <row r="176" spans="5:8">
      <c r="E176" s="7" t="s">
        <v>210</v>
      </c>
      <c r="F176" s="7" t="s">
        <v>211</v>
      </c>
      <c r="G176" s="7" t="s">
        <v>445</v>
      </c>
      <c r="H176" s="7" t="s">
        <v>446</v>
      </c>
    </row>
    <row r="177" spans="5:8">
      <c r="E177" s="7" t="s">
        <v>324</v>
      </c>
      <c r="F177" s="7" t="s">
        <v>325</v>
      </c>
      <c r="G177" s="7" t="s">
        <v>467</v>
      </c>
      <c r="H177" s="7" t="s">
        <v>445</v>
      </c>
    </row>
    <row r="178" spans="5:8">
      <c r="E178" s="7" t="s">
        <v>85</v>
      </c>
      <c r="F178" s="7" t="s">
        <v>86</v>
      </c>
      <c r="G178" s="7" t="s">
        <v>466</v>
      </c>
      <c r="H178" s="7" t="s">
        <v>469</v>
      </c>
    </row>
    <row r="179" spans="5:8">
      <c r="E179" s="7" t="s">
        <v>167</v>
      </c>
      <c r="F179" s="7" t="s">
        <v>168</v>
      </c>
      <c r="G179" s="7" t="s">
        <v>460</v>
      </c>
      <c r="H179" s="7" t="s">
        <v>461</v>
      </c>
    </row>
    <row r="180" spans="5:8">
      <c r="E180" s="7" t="s">
        <v>353</v>
      </c>
      <c r="F180" s="7" t="s">
        <v>354</v>
      </c>
      <c r="G180" s="7" t="s">
        <v>445</v>
      </c>
      <c r="H180" s="7" t="s">
        <v>446</v>
      </c>
    </row>
    <row r="181" spans="5:8">
      <c r="E181" s="7" t="s">
        <v>395</v>
      </c>
      <c r="F181" s="7" t="s">
        <v>396</v>
      </c>
      <c r="G181" s="7" t="s">
        <v>462</v>
      </c>
      <c r="H181" s="7" t="s">
        <v>453</v>
      </c>
    </row>
    <row r="182" spans="5:8">
      <c r="E182" s="7" t="s">
        <v>413</v>
      </c>
      <c r="F182" s="7" t="s">
        <v>414</v>
      </c>
      <c r="G182" s="7" t="s">
        <v>445</v>
      </c>
      <c r="H182" s="7" t="s">
        <v>446</v>
      </c>
    </row>
  </sheetData>
  <sortState xmlns:xlrd2="http://schemas.microsoft.com/office/spreadsheetml/2017/richdata2" ref="A3:A11">
    <sortCondition ref="A3:A11"/>
  </sortState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4"/>
  <sheetViews>
    <sheetView workbookViewId="0"/>
  </sheetViews>
  <sheetFormatPr defaultRowHeight="14.5"/>
  <cols>
    <col min="1" max="1" width="24.26953125" bestFit="1" customWidth="1"/>
  </cols>
  <sheetData>
    <row r="1" spans="1:1">
      <c r="A1" s="2" t="s">
        <v>16</v>
      </c>
    </row>
    <row r="2" spans="1:1">
      <c r="A2" s="1" t="s">
        <v>14</v>
      </c>
    </row>
    <row r="3" spans="1:1">
      <c r="A3" s="1" t="s">
        <v>12</v>
      </c>
    </row>
    <row r="4" spans="1:1">
      <c r="A4" s="1" t="s">
        <v>13</v>
      </c>
    </row>
  </sheetData>
  <customSheetViews>
    <customSheetView guid="{FCDA46AD-99D0-4A73-8BF7-467A042726DF}" state="hidden">
      <selection activeCell="L5" sqref="L5"/>
      <pageMargins left="0.7" right="0.7" top="0.75" bottom="0.75" header="0.3" footer="0.3"/>
    </customSheetView>
    <customSheetView guid="{99DDAF34-8281-4459-B21B-1F386C87505B}" state="hidden">
      <selection activeCell="L5" sqref="L5"/>
      <pageMargins left="0.7" right="0.7" top="0.75" bottom="0.75" header="0.3" footer="0.3"/>
    </customSheetView>
    <customSheetView guid="{3BED45F5-124E-4443-9496-81F6FA7B1ECD}" state="hidden">
      <selection activeCell="L5" sqref="L5"/>
      <pageMargins left="0.7" right="0.7" top="0.75" bottom="0.75" header="0.3" footer="0.3"/>
    </customSheetView>
  </customSheetView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RS4</vt:lpstr>
      <vt:lpstr>Lista Despegable</vt:lpstr>
      <vt:lpstr>Desplegable DDJJ</vt:lpstr>
      <vt:lpstr>'RS4'!Print_Area</vt:lpstr>
      <vt:lpstr>'RS4'!Print_Titles</vt:lpstr>
    </vt:vector>
  </TitlesOfParts>
  <Company>Dirección Gral. De Impuestos Internos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B Calderon C</dc:creator>
  <cp:lastModifiedBy>Osvaldo E Perez P</cp:lastModifiedBy>
  <cp:lastPrinted>2019-09-10T18:37:24Z</cp:lastPrinted>
  <dcterms:created xsi:type="dcterms:W3CDTF">2018-11-21T12:08:59Z</dcterms:created>
  <dcterms:modified xsi:type="dcterms:W3CDTF">2024-09-10T12:51:45Z</dcterms:modified>
</cp:coreProperties>
</file>